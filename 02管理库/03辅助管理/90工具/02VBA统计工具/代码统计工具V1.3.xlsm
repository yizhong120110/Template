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765" windowWidth="14805" windowHeight="7110" tabRatio="766"/>
  </bookViews>
  <sheets>
    <sheet name="操作说明" sheetId="11" r:id="rId1"/>
    <sheet name="(一)功能清单统计" sheetId="13" r:id="rId2"/>
    <sheet name="(二-1)消耗工时统计" sheetId="4" r:id="rId3"/>
    <sheet name="(二-2)代码行数统计" sheetId="10" r:id="rId4"/>
    <sheet name="(二-3)检查问题统计" sheetId="1" r:id="rId5"/>
    <sheet name="(二-4)评审问题统计" sheetId="15" r:id="rId6"/>
    <sheet name="(二-5)测试用例统计" sheetId="7" r:id="rId7"/>
    <sheet name="(二-6)测试bug统计" sheetId="8" r:id="rId8"/>
    <sheet name="（三)KPI统计" sheetId="5" r:id="rId9"/>
    <sheet name="附1-检查问题记录" sheetId="2" r:id="rId10"/>
    <sheet name="附2-评审问题记录" sheetId="16" r:id="rId11"/>
    <sheet name="附3-bug清单" sheetId="14" r:id="rId12"/>
    <sheet name="备注" sheetId="6" r:id="rId13"/>
  </sheets>
  <functionGroups builtInGroupCount="17"/>
  <definedNames>
    <definedName name="_xlnm._FilterDatabase" localSheetId="9" hidden="1">'附1-检查问题记录'!$A$1:$D$51</definedName>
  </definedNames>
  <calcPr calcId="144525"/>
</workbook>
</file>

<file path=xl/calcChain.xml><?xml version="1.0" encoding="utf-8"?>
<calcChain xmlns="http://schemas.openxmlformats.org/spreadsheetml/2006/main">
  <c r="L12" i="6" l="1"/>
  <c r="I12" i="6"/>
  <c r="L11" i="6"/>
  <c r="J11" i="6"/>
  <c r="I11" i="6"/>
  <c r="G11" i="6"/>
  <c r="L10" i="6"/>
  <c r="J10" i="6"/>
  <c r="I10" i="6"/>
  <c r="G10" i="6"/>
  <c r="L9" i="6"/>
  <c r="J9" i="6"/>
  <c r="I9" i="6"/>
  <c r="G9" i="6"/>
  <c r="L8" i="6"/>
  <c r="J8" i="6"/>
  <c r="I8" i="6"/>
  <c r="G8" i="6"/>
  <c r="L7" i="6"/>
  <c r="J7" i="6"/>
  <c r="I7" i="6"/>
  <c r="G7" i="6"/>
  <c r="L6" i="6"/>
  <c r="J6" i="6"/>
  <c r="I6" i="6"/>
  <c r="G6" i="6"/>
  <c r="L5" i="6"/>
  <c r="J5" i="6"/>
  <c r="I5" i="6"/>
  <c r="G5" i="6"/>
  <c r="L4" i="6"/>
  <c r="J4" i="6"/>
  <c r="I4" i="6"/>
  <c r="G4" i="6"/>
</calcChain>
</file>

<file path=xl/sharedStrings.xml><?xml version="1.0" encoding="utf-8"?>
<sst xmlns="http://schemas.openxmlformats.org/spreadsheetml/2006/main" count="363" uniqueCount="231">
  <si>
    <t>序号</t>
    <phoneticPr fontId="1" type="noConversion"/>
  </si>
  <si>
    <t>问题描述</t>
    <phoneticPr fontId="1" type="noConversion"/>
  </si>
  <si>
    <t>文件类型</t>
    <phoneticPr fontId="1" type="noConversion"/>
  </si>
  <si>
    <t>功能ID</t>
    <phoneticPr fontId="1" type="noConversion"/>
  </si>
  <si>
    <t>功能名称</t>
    <phoneticPr fontId="1" type="noConversion"/>
  </si>
  <si>
    <t>序号</t>
    <phoneticPr fontId="4" type="noConversion"/>
  </si>
  <si>
    <t>大分类</t>
    <phoneticPr fontId="4" type="noConversion"/>
  </si>
  <si>
    <t>小分类</t>
    <phoneticPr fontId="4" type="noConversion"/>
  </si>
  <si>
    <t>单位</t>
    <phoneticPr fontId="4" type="noConversion"/>
  </si>
  <si>
    <t>计算公式</t>
    <phoneticPr fontId="4" type="noConversion"/>
  </si>
  <si>
    <t>老平台</t>
    <phoneticPr fontId="4" type="noConversion"/>
  </si>
  <si>
    <t>新平台</t>
    <phoneticPr fontId="4" type="noConversion"/>
  </si>
  <si>
    <t>上限</t>
    <phoneticPr fontId="4" type="noConversion"/>
  </si>
  <si>
    <t>标准</t>
    <phoneticPr fontId="4" type="noConversion"/>
  </si>
  <si>
    <t>下限</t>
    <phoneticPr fontId="4" type="noConversion"/>
  </si>
  <si>
    <t>01</t>
    <phoneticPr fontId="4" type="noConversion"/>
  </si>
  <si>
    <t>Bug率</t>
    <phoneticPr fontId="4" type="noConversion"/>
  </si>
  <si>
    <t>详细设计问题率</t>
    <phoneticPr fontId="4" type="noConversion"/>
  </si>
  <si>
    <t>个/页</t>
    <phoneticPr fontId="4" type="noConversion"/>
  </si>
  <si>
    <t>详细设计检查单中问题总数/对应处理详细设计页数</t>
    <phoneticPr fontId="4" type="noConversion"/>
  </si>
  <si>
    <t>02</t>
  </si>
  <si>
    <t>详细设计Bug率</t>
    <phoneticPr fontId="4" type="noConversion"/>
  </si>
  <si>
    <t>个/页</t>
    <phoneticPr fontId="4" type="noConversion"/>
  </si>
  <si>
    <t>详细设计检查单问题中Bug类总数/详细详细设计页数</t>
    <phoneticPr fontId="4" type="noConversion"/>
  </si>
  <si>
    <t>03</t>
  </si>
  <si>
    <t>代码检查问题率</t>
    <phoneticPr fontId="4" type="noConversion"/>
  </si>
  <si>
    <t>个/KL</t>
    <phoneticPr fontId="4" type="noConversion"/>
  </si>
  <si>
    <t>04</t>
  </si>
  <si>
    <t>代码检查Bug率</t>
    <phoneticPr fontId="4" type="noConversion"/>
  </si>
  <si>
    <t>05</t>
    <phoneticPr fontId="4" type="noConversion"/>
  </si>
  <si>
    <t>06</t>
    <phoneticPr fontId="4" type="noConversion"/>
  </si>
  <si>
    <t>生产性</t>
    <phoneticPr fontId="4" type="noConversion"/>
  </si>
  <si>
    <t>详细设计生产性</t>
    <phoneticPr fontId="4" type="noConversion"/>
  </si>
  <si>
    <t>页/小时</t>
    <phoneticPr fontId="4" type="noConversion"/>
  </si>
  <si>
    <t>对应功能详细设计页数/完成对应功能详细设计所消耗的工时(小时)</t>
    <phoneticPr fontId="4" type="noConversion"/>
  </si>
  <si>
    <t>07</t>
    <phoneticPr fontId="4" type="noConversion"/>
  </si>
  <si>
    <t>编码生产性</t>
    <phoneticPr fontId="4" type="noConversion"/>
  </si>
  <si>
    <t>KL/人月</t>
    <phoneticPr fontId="4" type="noConversion"/>
  </si>
  <si>
    <t>165*对应功能代码行数(KL)/完成编码所消耗的工时(H)</t>
    <phoneticPr fontId="4" type="noConversion"/>
  </si>
  <si>
    <t>08</t>
    <phoneticPr fontId="4" type="noConversion"/>
  </si>
  <si>
    <t>测试点覆盖率</t>
    <phoneticPr fontId="4" type="noConversion"/>
  </si>
  <si>
    <t>单元测试点覆盖率</t>
    <phoneticPr fontId="4" type="noConversion"/>
  </si>
  <si>
    <t>09</t>
    <phoneticPr fontId="4" type="noConversion"/>
  </si>
  <si>
    <t>注释率</t>
    <phoneticPr fontId="4" type="noConversion"/>
  </si>
  <si>
    <t>代码行数注释率</t>
    <phoneticPr fontId="4" type="noConversion"/>
  </si>
  <si>
    <t>百分比</t>
    <phoneticPr fontId="4" type="noConversion"/>
  </si>
  <si>
    <t>注释行数/(注释行数+纯代码行数)</t>
    <phoneticPr fontId="4" type="noConversion"/>
  </si>
  <si>
    <t>序号</t>
    <phoneticPr fontId="1" type="noConversion"/>
  </si>
  <si>
    <t>序号</t>
    <phoneticPr fontId="1" type="noConversion"/>
  </si>
  <si>
    <t>序号</t>
    <phoneticPr fontId="4" type="noConversion"/>
  </si>
  <si>
    <t>功能ID</t>
    <phoneticPr fontId="4" type="noConversion"/>
  </si>
  <si>
    <t>功能名称</t>
    <phoneticPr fontId="4" type="noConversion"/>
  </si>
  <si>
    <t>违反规约（注释等不符合规范）</t>
    <phoneticPr fontId="1" type="noConversion"/>
  </si>
  <si>
    <t>Bug(文件命名不符合规范）</t>
    <phoneticPr fontId="1" type="noConversion"/>
  </si>
  <si>
    <t>Bug(代码描述与详细设计不符)</t>
    <phoneticPr fontId="1" type="noConversion"/>
  </si>
  <si>
    <t>Bug(逻辑错误)</t>
    <phoneticPr fontId="1" type="noConversion"/>
  </si>
  <si>
    <t>代码遗漏</t>
    <phoneticPr fontId="1" type="noConversion"/>
  </si>
  <si>
    <t>缺字漏字</t>
    <phoneticPr fontId="1" type="noConversion"/>
  </si>
  <si>
    <t>优化改善</t>
    <phoneticPr fontId="1" type="noConversion"/>
  </si>
  <si>
    <t>不是问题</t>
    <phoneticPr fontId="1" type="noConversion"/>
  </si>
  <si>
    <t>无归类问题</t>
    <phoneticPr fontId="1" type="noConversion"/>
  </si>
  <si>
    <t>bug合计</t>
    <phoneticPr fontId="1" type="noConversion"/>
  </si>
  <si>
    <t>问题合计</t>
    <phoneticPr fontId="1" type="noConversion"/>
  </si>
  <si>
    <t>代码问题类型</t>
    <phoneticPr fontId="1" type="noConversion"/>
  </si>
  <si>
    <t>功能测试</t>
    <phoneticPr fontId="1" type="noConversion"/>
  </si>
  <si>
    <t>异常测试</t>
    <phoneticPr fontId="1" type="noConversion"/>
  </si>
  <si>
    <t>界限值测试</t>
    <phoneticPr fontId="1" type="noConversion"/>
  </si>
  <si>
    <t>测试用例总数</t>
    <phoneticPr fontId="1" type="noConversion"/>
  </si>
  <si>
    <t>bug</t>
    <phoneticPr fontId="1" type="noConversion"/>
  </si>
  <si>
    <t>中</t>
    <phoneticPr fontId="1" type="noConversion"/>
  </si>
  <si>
    <t>小</t>
    <phoneticPr fontId="1" type="noConversion"/>
  </si>
  <si>
    <t>不是bug</t>
    <phoneticPr fontId="1" type="noConversion"/>
  </si>
  <si>
    <t>客户新需求</t>
    <phoneticPr fontId="1" type="noConversion"/>
  </si>
  <si>
    <t>大</t>
    <phoneticPr fontId="1" type="noConversion"/>
  </si>
  <si>
    <t>无归类bug</t>
    <phoneticPr fontId="1" type="noConversion"/>
  </si>
  <si>
    <t>单元测试</t>
    <phoneticPr fontId="4" type="noConversion"/>
  </si>
  <si>
    <t>检查</t>
    <phoneticPr fontId="4" type="noConversion"/>
  </si>
  <si>
    <t>测试</t>
    <phoneticPr fontId="4" type="noConversion"/>
  </si>
  <si>
    <t>注释行
(KL)</t>
    <phoneticPr fontId="4" type="noConversion"/>
  </si>
  <si>
    <t>有效行
(KL)</t>
    <phoneticPr fontId="4" type="noConversion"/>
  </si>
  <si>
    <t>Bug数
(个)</t>
    <phoneticPr fontId="4" type="noConversion"/>
  </si>
  <si>
    <t>问题数
(个)</t>
    <phoneticPr fontId="4" type="noConversion"/>
  </si>
  <si>
    <t>测试点
(个)</t>
    <phoneticPr fontId="4" type="noConversion"/>
  </si>
  <si>
    <t>代码</t>
    <phoneticPr fontId="1" type="noConversion"/>
  </si>
  <si>
    <t>bug总数</t>
    <phoneticPr fontId="1" type="noConversion"/>
  </si>
  <si>
    <t>问题总数</t>
    <phoneticPr fontId="1" type="noConversion"/>
  </si>
  <si>
    <t>编码</t>
    <phoneticPr fontId="1" type="noConversion"/>
  </si>
  <si>
    <t>有效行数</t>
    <phoneticPr fontId="1" type="noConversion"/>
  </si>
  <si>
    <t>空白行数</t>
    <phoneticPr fontId="1" type="noConversion"/>
  </si>
  <si>
    <t>注释行数</t>
    <phoneticPr fontId="1" type="noConversion"/>
  </si>
  <si>
    <t>总行数</t>
    <phoneticPr fontId="1" type="noConversion"/>
  </si>
  <si>
    <t>代码KPI数据统计</t>
    <phoneticPr fontId="1" type="noConversion"/>
  </si>
  <si>
    <t xml:space="preserve">  1、wbs模板表头：</t>
    <phoneticPr fontId="1" type="noConversion"/>
  </si>
  <si>
    <t xml:space="preserve"> 2、wbs进度的sheet页名称必须为【Schedule】</t>
    <phoneticPr fontId="1" type="noConversion"/>
  </si>
  <si>
    <t xml:space="preserve"> 4、路径选择时，应选择到wbs文件，例如：C:\Users\gaokun\Desktop\测试用例\WBS拆分表-济南分行财政非税系统.xls</t>
    <phoneticPr fontId="1" type="noConversion"/>
  </si>
  <si>
    <t xml:space="preserve"> </t>
    <phoneticPr fontId="1" type="noConversion"/>
  </si>
  <si>
    <t xml:space="preserve"> 4、对检查单或者评审单的内容提取，以问题描述不为空为判断标准，所以若内容中出现空行，则到此结束</t>
    <phoneticPr fontId="1" type="noConversion"/>
  </si>
  <si>
    <t xml:space="preserve"> 2、统计时以“功能ID|功能名称”为主键进行数据整合</t>
    <phoneticPr fontId="1" type="noConversion"/>
  </si>
  <si>
    <t xml:space="preserve"> 3、统计时以功能ID是否为空为循环标准，因此数据源Sheet的功能ID不应为空值</t>
    <phoneticPr fontId="1" type="noConversion"/>
  </si>
  <si>
    <t xml:space="preserve"> 5、路径选择时，应选择到检查单或者评审单所在文件夹级别，例如：C:\Users\gaokun\Desktop\测试用例\代码检查单</t>
    <phoneticPr fontId="1" type="noConversion"/>
  </si>
  <si>
    <t xml:space="preserve"> 1、测试用例数量统计以功能为单位进行统计</t>
    <phoneticPr fontId="1" type="noConversion"/>
  </si>
  <si>
    <t>注意事项：</t>
    <phoneticPr fontId="1" type="noConversion"/>
  </si>
  <si>
    <t xml:space="preserve"> 3、路径选择时，应选择到详细设计所在文件夹级别，例如：C:\Users\gaokun\Desktop\测试用例\测试用例</t>
    <phoneticPr fontId="1" type="noConversion"/>
  </si>
  <si>
    <t xml:space="preserve"> </t>
    <phoneticPr fontId="1" type="noConversion"/>
  </si>
  <si>
    <t xml:space="preserve"> 4、测试用例模板样式如下：</t>
    <phoneticPr fontId="1" type="noConversion"/>
  </si>
  <si>
    <t xml:space="preserve"> 1、单元测试bug数量统计以功能为单位进行统计</t>
    <phoneticPr fontId="1" type="noConversion"/>
  </si>
  <si>
    <t xml:space="preserve"> 3、路径选择时，应选择到详细设计所在文件夹级别，例如：C:\Users\gaokun\Desktop\新建文件夹\bug</t>
    <phoneticPr fontId="1" type="noConversion"/>
  </si>
  <si>
    <t>序号</t>
    <phoneticPr fontId="1" type="noConversion"/>
  </si>
  <si>
    <t>功能ID</t>
    <phoneticPr fontId="1" type="noConversion"/>
  </si>
  <si>
    <t>功能名称</t>
    <phoneticPr fontId="1" type="noConversion"/>
  </si>
  <si>
    <t>优先级</t>
    <phoneticPr fontId="1" type="noConversion"/>
  </si>
  <si>
    <t>备注</t>
    <phoneticPr fontId="1" type="noConversion"/>
  </si>
  <si>
    <t>bug描述</t>
    <phoneticPr fontId="1" type="noConversion"/>
  </si>
  <si>
    <t>bug</t>
    <phoneticPr fontId="1" type="noConversion"/>
  </si>
  <si>
    <t>重大度</t>
    <phoneticPr fontId="1" type="noConversion"/>
  </si>
  <si>
    <t>实际工时
(H)</t>
    <phoneticPr fontId="4" type="noConversion"/>
  </si>
  <si>
    <t>单元测试Bug率</t>
    <phoneticPr fontId="1" type="noConversion"/>
  </si>
  <si>
    <t>编码KPI数据</t>
    <phoneticPr fontId="1" type="noConversion"/>
  </si>
  <si>
    <t>一、Sheet【(一)功能清单统计】使用说明</t>
    <phoneticPr fontId="1" type="noConversion"/>
  </si>
  <si>
    <t xml:space="preserve">  1、需求跟踪矩阵：</t>
    <phoneticPr fontId="1" type="noConversion"/>
  </si>
  <si>
    <t xml:space="preserve"> 2、需求跟踪矩阵的sheet页名称必须为【需求跟踪矩阵】</t>
    <phoneticPr fontId="1" type="noConversion"/>
  </si>
  <si>
    <t xml:space="preserve"> 3、需求编号和需求名称分别对应功能ID和功能名称</t>
    <phoneticPr fontId="1" type="noConversion"/>
  </si>
  <si>
    <t xml:space="preserve"> 4、路径选择时，应选择到需求矩阵文件，例如：C:\Users\gaokun\Desktop\测试用例\模板-需求跟踪矩阵.xls</t>
    <phoneticPr fontId="1" type="noConversion"/>
  </si>
  <si>
    <t>二、Sheet【(二-1)消耗工时统计】使用说明</t>
    <phoneticPr fontId="1" type="noConversion"/>
  </si>
  <si>
    <t>三、Sheet【(二-2)代码行数统计】使用说明</t>
    <phoneticPr fontId="1" type="noConversion"/>
  </si>
  <si>
    <t xml:space="preserve"> 1、代码行数统计工具使用【代码行数统计工具.xlsm】,并将代码文件归属功能</t>
    <phoneticPr fontId="1" type="noConversion"/>
  </si>
  <si>
    <t xml:space="preserve"> 2、选择代码行数统计功能,统计代码行数</t>
    <phoneticPr fontId="1" type="noConversion"/>
  </si>
  <si>
    <t xml:space="preserve"> 5、bug票模板样式如下：</t>
    <phoneticPr fontId="1" type="noConversion"/>
  </si>
  <si>
    <t>功能名称</t>
    <phoneticPr fontId="1" type="noConversion"/>
  </si>
  <si>
    <t>查看明细</t>
    <phoneticPr fontId="1" type="noConversion"/>
  </si>
  <si>
    <t>查看明细</t>
    <phoneticPr fontId="1" type="noConversion"/>
  </si>
  <si>
    <t>返回</t>
    <phoneticPr fontId="1" type="noConversion"/>
  </si>
  <si>
    <t>返回</t>
    <phoneticPr fontId="1" type="noConversion"/>
  </si>
  <si>
    <t>四、Sheet【(二-3)检查问题统计】使用说明</t>
    <phoneticPr fontId="1" type="noConversion"/>
  </si>
  <si>
    <t>五、Sheet【(二-4)评审问题统计】使用说明</t>
    <phoneticPr fontId="1" type="noConversion"/>
  </si>
  <si>
    <t xml:space="preserve"> 1、对代码评审单所统计的问题进行汇总，统计后会在Sheet【附2-评审问题记录】中记录问题记录，以供参考</t>
    <phoneticPr fontId="1" type="noConversion"/>
  </si>
  <si>
    <t xml:space="preserve"> 1、对代码检查单中的问题进行统计，统计后会在Sheet【附1-检查问题记录】中记录问题记录，以供参考</t>
    <phoneticPr fontId="1" type="noConversion"/>
  </si>
  <si>
    <t xml:space="preserve"> 3、检查单的表头分别如下：</t>
    <phoneticPr fontId="1" type="noConversion"/>
  </si>
  <si>
    <t xml:space="preserve"> 2、评审单的功能ID和功能名称需与功能需求矩阵一致</t>
    <phoneticPr fontId="1" type="noConversion"/>
  </si>
  <si>
    <t xml:space="preserve"> 3、评审单的表头分别如下：</t>
    <phoneticPr fontId="1" type="noConversion"/>
  </si>
  <si>
    <t xml:space="preserve"> 4、对评审单的内容提取，以问题描述不为空为判断标准，所以若内容中出现空行，则到此结束</t>
    <phoneticPr fontId="1" type="noConversion"/>
  </si>
  <si>
    <t>六、Sheet【(二-5)测试用例统计】使用说明</t>
    <phoneticPr fontId="1" type="noConversion"/>
  </si>
  <si>
    <t>七、Sheet【测试bug统计】使用说明</t>
    <phoneticPr fontId="1" type="noConversion"/>
  </si>
  <si>
    <t xml:space="preserve"> 4、将统计的bug在sheet【附3-bug清单】留存，以便一览分析</t>
    <phoneticPr fontId="1" type="noConversion"/>
  </si>
  <si>
    <t>八、KPI统计</t>
    <phoneticPr fontId="1" type="noConversion"/>
  </si>
  <si>
    <t xml:space="preserve"> 1、KPI统计的数据源为本文档的Sheet【消耗工时统计】、Sheet【代码行数统计】、Sheet【检查问题统计】、Sheet【评审问题统计】Sheet【测试用例统计】和Sheet【测试bug统计】</t>
    <phoneticPr fontId="1" type="noConversion"/>
  </si>
  <si>
    <t>代码检查单中问题总数/对应处理代码行数（包含有效代码和注释）</t>
    <phoneticPr fontId="4" type="noConversion"/>
  </si>
  <si>
    <t>代码检查单问题中Bug类总数/对应处理代码行数（包含有效代码和注释）</t>
    <phoneticPr fontId="4" type="noConversion"/>
  </si>
  <si>
    <t>编码生产性</t>
    <phoneticPr fontId="1" type="noConversion"/>
  </si>
  <si>
    <t>代码行数注释率</t>
    <phoneticPr fontId="1" type="noConversion"/>
  </si>
  <si>
    <t>代码检查Bug率</t>
    <phoneticPr fontId="1" type="noConversion"/>
  </si>
  <si>
    <t>代码检查问题率</t>
    <phoneticPr fontId="1" type="noConversion"/>
  </si>
  <si>
    <t>单元测试点覆盖率</t>
    <phoneticPr fontId="1" type="noConversion"/>
  </si>
  <si>
    <t>单元测试测试case数/对应处理代码行数</t>
    <phoneticPr fontId="4" type="noConversion"/>
  </si>
  <si>
    <t>单元测试Bug率</t>
    <phoneticPr fontId="4" type="noConversion"/>
  </si>
  <si>
    <t>单元测试Bug总数/对应处理代码行数</t>
    <phoneticPr fontId="4" type="noConversion"/>
  </si>
  <si>
    <t xml:space="preserve"> 2、检查单的文件名称格式如：代码检查单-开发系统-功能ID-功能名称-作业者姓名.xlsx </t>
    <phoneticPr fontId="1" type="noConversion"/>
  </si>
  <si>
    <t xml:space="preserve"> 2、测试用例文件的命名规则为：单元测试-模块名-功能ID-功能名称.xlsx</t>
    <phoneticPr fontId="1" type="noConversion"/>
  </si>
  <si>
    <t xml:space="preserve"> 2、测试用例文件的命名规则为：开发系统-Bug票-模块名-功能ID-功能名称-番号.xlsx</t>
    <phoneticPr fontId="1" type="noConversion"/>
  </si>
  <si>
    <t xml:space="preserve"> 1、功能ID和功能名称大部分是从文件名中提取，以“-”为分隔符，因此建议功能名称中不要使用中划线，若不得不使用，则需手工修改统计结果</t>
    <phoneticPr fontId="1" type="noConversion"/>
  </si>
  <si>
    <t>高</t>
  </si>
  <si>
    <t>合计</t>
  </si>
  <si>
    <t xml:space="preserve"> 3、统计作业名称为【编码】、【编码检查】、【测试案例】和【单元测试】的实际工时</t>
    <phoneticPr fontId="1" type="noConversion"/>
  </si>
  <si>
    <t>MSWLBF_JY_001</t>
  </si>
  <si>
    <t>保付资金垫款(核心接口)</t>
  </si>
  <si>
    <t>MSWLBF_JY_002</t>
  </si>
  <si>
    <t>保付资金付款(核心接口)</t>
  </si>
  <si>
    <t>MSWLBF_JY_003</t>
  </si>
  <si>
    <t>保付资金退款(核心接口)</t>
  </si>
  <si>
    <t>MSWLBF_JY_004</t>
  </si>
  <si>
    <t>委托清分</t>
  </si>
  <si>
    <t>MSWLBF_JY_005</t>
  </si>
  <si>
    <t>日终对账</t>
  </si>
  <si>
    <t>MSWLBF_JY_006</t>
  </si>
  <si>
    <t>密钥同步</t>
  </si>
  <si>
    <t>MSWLBF_JY_007</t>
  </si>
  <si>
    <t>账户信息校验(到总行)</t>
  </si>
  <si>
    <t>MSWLBF_JY_008</t>
  </si>
  <si>
    <t>短信接口</t>
  </si>
  <si>
    <t>MSWLBF_JY_009</t>
  </si>
  <si>
    <t>全额保付接口(与物流平台)</t>
  </si>
  <si>
    <t>MSWLBF_JY_010</t>
  </si>
  <si>
    <t>全额保付退货接口(与物流平台)</t>
  </si>
  <si>
    <t>MSWLBF_JY_011</t>
  </si>
  <si>
    <t>付款给发货方</t>
  </si>
  <si>
    <t>MSWLBF_JY_012</t>
  </si>
  <si>
    <t>申诉通知</t>
  </si>
  <si>
    <t>MSWLBF_GM_001</t>
  </si>
  <si>
    <t>物流商户信息查询</t>
  </si>
  <si>
    <t>MSWLBF_GM_002</t>
  </si>
  <si>
    <t>物流商户信息详情</t>
  </si>
  <si>
    <t>MSWLBF_GM_003</t>
  </si>
  <si>
    <t>新增物流商户信息</t>
  </si>
  <si>
    <t>MSWLBF_GM_004</t>
  </si>
  <si>
    <t>修改物流商户信息</t>
  </si>
  <si>
    <t>MSWLBF_GM_005</t>
  </si>
  <si>
    <t>解约物流商户信息</t>
  </si>
  <si>
    <t>MSWLBF_GM_006</t>
  </si>
  <si>
    <t>审核物流商户信息</t>
  </si>
  <si>
    <t>MSWLBF_GM_007</t>
  </si>
  <si>
    <t>预警信息</t>
  </si>
  <si>
    <t>MSWLBF_GM_008</t>
  </si>
  <si>
    <t>保付运单信息查询</t>
  </si>
  <si>
    <t>MSWLBF_GM_009</t>
  </si>
  <si>
    <t>保付运单申诉受理</t>
  </si>
  <si>
    <t>MSWLBF_GM_010</t>
  </si>
  <si>
    <t>保付运单申诉处理</t>
  </si>
  <si>
    <t>MSWLBF_GM_011</t>
  </si>
  <si>
    <t>参数维护</t>
  </si>
  <si>
    <t>MSWLBF_GM_012</t>
  </si>
  <si>
    <t>保付运单审核</t>
  </si>
  <si>
    <t>MSWLBF_GM_013</t>
  </si>
  <si>
    <t>审核人员维护</t>
  </si>
  <si>
    <t>MSWLBF_GM_014</t>
  </si>
  <si>
    <t>申诉规则维护</t>
  </si>
  <si>
    <t>MSWLBF_GM_015</t>
  </si>
  <si>
    <t>行员操作流水</t>
  </si>
  <si>
    <t>MSWLBF_BB_001</t>
  </si>
  <si>
    <t>物流商户汇总报表</t>
  </si>
  <si>
    <t>MSWLBF_BB_003</t>
  </si>
  <si>
    <t>扣款失败明细报表</t>
  </si>
  <si>
    <t>序号</t>
    <phoneticPr fontId="1" type="noConversion"/>
  </si>
  <si>
    <t>功能ID</t>
    <phoneticPr fontId="1" type="noConversion"/>
  </si>
  <si>
    <t>功能名称</t>
    <phoneticPr fontId="1" type="noConversion"/>
  </si>
  <si>
    <t>编码工时</t>
    <phoneticPr fontId="1" type="noConversion"/>
  </si>
  <si>
    <t>编码检查工时</t>
    <phoneticPr fontId="1" type="noConversion"/>
  </si>
  <si>
    <t>测试案例工时</t>
    <phoneticPr fontId="1" type="noConversion"/>
  </si>
  <si>
    <t>单元测试工时</t>
    <phoneticPr fontId="1" type="noConversion"/>
  </si>
  <si>
    <t>单元测试检查工时</t>
    <phoneticPr fontId="1" type="noConversion"/>
  </si>
  <si>
    <t>总工时</t>
    <phoneticPr fontId="1" type="noConversion"/>
  </si>
  <si>
    <t xml:space="preserve"> 2、若某一项无需统计时，相应的内容需要清空，否则会影响KPI数据统计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</si>
</sst>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_ "/>
    <numFmt numFmtId="177" formatCode="0.00_);[Red]\(0.00\)"/>
  </numFmts>
  <fonts count="1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b/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charset val="134"/>
      <scheme val="minor"/>
    </font>
    <font>
      <b/>
      <sz val="10"/>
      <color rgb="FF0000CC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b/>
      <sz val="20"/>
      <color theme="1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宋体"/>
      <family val="2"/>
      <scheme val="minor"/>
    </font>
    <font>
      <b/>
      <sz val="11"/>
      <color rgb="FFFF0000"/>
      <name val="宋体"/>
      <family val="3"/>
      <charset val="134"/>
      <scheme val="minor"/>
    </font>
    <font>
      <u/>
      <sz val="11"/>
      <color theme="10"/>
      <name val="宋体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110">
    <xf numFmtId="0" fontId="0" fillId="0" borderId="0" xfId="0"/>
    <xf numFmtId="0" fontId="0" fillId="0" borderId="0" xfId="0" applyAlignment="1">
      <alignment wrapText="1"/>
    </xf>
    <xf numFmtId="0" fontId="0" fillId="0" borderId="0" xfId="0" applyFill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0" borderId="1" xfId="0" quotePrefix="1" applyFont="1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 wrapText="1"/>
    </xf>
    <xf numFmtId="176" fontId="7" fillId="0" borderId="1" xfId="0" applyNumberFormat="1" applyFont="1" applyBorder="1" applyAlignment="1">
      <alignment vertical="center" wrapText="1"/>
    </xf>
    <xf numFmtId="176" fontId="5" fillId="0" borderId="1" xfId="0" applyNumberFormat="1" applyFont="1" applyBorder="1" applyAlignment="1">
      <alignment vertical="center" wrapText="1"/>
    </xf>
    <xf numFmtId="0" fontId="6" fillId="0" borderId="0" xfId="0" applyFont="1" applyAlignment="1">
      <alignment vertical="center"/>
    </xf>
    <xf numFmtId="0" fontId="6" fillId="8" borderId="1" xfId="0" quotePrefix="1" applyFont="1" applyFill="1" applyBorder="1" applyAlignment="1">
      <alignment horizontal="center" vertical="center"/>
    </xf>
    <xf numFmtId="0" fontId="6" fillId="9" borderId="1" xfId="0" applyFont="1" applyFill="1" applyBorder="1" applyAlignment="1">
      <alignment vertical="center"/>
    </xf>
    <xf numFmtId="0" fontId="6" fillId="9" borderId="1" xfId="0" applyFont="1" applyFill="1" applyBorder="1" applyAlignment="1">
      <alignment vertical="center" wrapText="1"/>
    </xf>
    <xf numFmtId="176" fontId="7" fillId="9" borderId="1" xfId="0" applyNumberFormat="1" applyFont="1" applyFill="1" applyBorder="1" applyAlignment="1">
      <alignment vertical="center" wrapText="1"/>
    </xf>
    <xf numFmtId="176" fontId="5" fillId="9" borderId="1" xfId="0" applyNumberFormat="1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 wrapText="1"/>
    </xf>
    <xf numFmtId="176" fontId="7" fillId="0" borderId="1" xfId="0" applyNumberFormat="1" applyFont="1" applyFill="1" applyBorder="1" applyAlignment="1">
      <alignment vertical="center" wrapText="1"/>
    </xf>
    <xf numFmtId="176" fontId="5" fillId="0" borderId="1" xfId="0" applyNumberFormat="1" applyFont="1" applyFill="1" applyBorder="1" applyAlignment="1">
      <alignment vertical="center" wrapText="1"/>
    </xf>
    <xf numFmtId="0" fontId="6" fillId="0" borderId="0" xfId="0" applyFont="1" applyFill="1" applyAlignment="1">
      <alignment vertical="center"/>
    </xf>
    <xf numFmtId="10" fontId="7" fillId="9" borderId="1" xfId="0" applyNumberFormat="1" applyFont="1" applyFill="1" applyBorder="1" applyAlignment="1">
      <alignment vertical="center" wrapText="1"/>
    </xf>
    <xf numFmtId="10" fontId="5" fillId="9" borderId="1" xfId="0" applyNumberFormat="1" applyFont="1" applyFill="1" applyBorder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3" fillId="6" borderId="2" xfId="0" applyFont="1" applyFill="1" applyBorder="1"/>
    <xf numFmtId="0" fontId="3" fillId="5" borderId="2" xfId="0" applyFont="1" applyFill="1" applyBorder="1"/>
    <xf numFmtId="0" fontId="3" fillId="5" borderId="2" xfId="0" applyFont="1" applyFill="1" applyBorder="1" applyAlignment="1">
      <alignment horizontal="center"/>
    </xf>
    <xf numFmtId="0" fontId="0" fillId="0" borderId="0" xfId="0" applyFill="1" applyBorder="1" applyAlignment="1"/>
    <xf numFmtId="0" fontId="11" fillId="0" borderId="0" xfId="0" applyFont="1"/>
    <xf numFmtId="0" fontId="8" fillId="0" borderId="0" xfId="0" applyFont="1"/>
    <xf numFmtId="0" fontId="2" fillId="3" borderId="2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2" fillId="12" borderId="16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21" xfId="0" applyFont="1" applyFill="1" applyBorder="1" applyAlignment="1">
      <alignment horizontal="center" vertical="center" wrapText="1"/>
    </xf>
    <xf numFmtId="0" fontId="2" fillId="14" borderId="19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4" borderId="2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3" fillId="4" borderId="2" xfId="0" applyFont="1" applyFill="1" applyBorder="1" applyAlignment="1">
      <alignment wrapText="1"/>
    </xf>
    <xf numFmtId="0" fontId="2" fillId="4" borderId="2" xfId="0" applyFont="1" applyFill="1" applyBorder="1" applyAlignment="1">
      <alignment wrapText="1"/>
    </xf>
    <xf numFmtId="0" fontId="2" fillId="10" borderId="2" xfId="0" applyFont="1" applyFill="1" applyBorder="1" applyAlignment="1">
      <alignment wrapText="1"/>
    </xf>
    <xf numFmtId="0" fontId="2" fillId="2" borderId="2" xfId="0" applyFont="1" applyFill="1" applyBorder="1" applyAlignment="1">
      <alignment horizontal="center"/>
    </xf>
    <xf numFmtId="0" fontId="14" fillId="0" borderId="0" xfId="1"/>
    <xf numFmtId="0" fontId="14" fillId="0" borderId="3" xfId="1" applyFill="1" applyBorder="1"/>
    <xf numFmtId="0" fontId="14" fillId="0" borderId="0" xfId="1" applyFill="1" applyAlignment="1"/>
    <xf numFmtId="0" fontId="3" fillId="6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 wrapText="1"/>
    </xf>
    <xf numFmtId="0" fontId="9" fillId="0" borderId="1" xfId="0" applyFont="1" applyBorder="1"/>
    <xf numFmtId="0" fontId="2" fillId="5" borderId="1" xfId="0" applyFont="1" applyFill="1" applyBorder="1"/>
    <xf numFmtId="177" fontId="9" fillId="0" borderId="1" xfId="0" applyNumberFormat="1" applyFont="1" applyBorder="1"/>
    <xf numFmtId="177" fontId="2" fillId="5" borderId="1" xfId="0" applyNumberFormat="1" applyFont="1" applyFill="1" applyBorder="1"/>
    <xf numFmtId="0" fontId="5" fillId="2" borderId="2" xfId="0" applyFont="1" applyFill="1" applyBorder="1" applyAlignment="1">
      <alignment horizontal="center"/>
    </xf>
    <xf numFmtId="9" fontId="9" fillId="0" borderId="1" xfId="0" applyNumberFormat="1" applyFont="1" applyBorder="1"/>
    <xf numFmtId="9" fontId="2" fillId="5" borderId="1" xfId="0" applyNumberFormat="1" applyFont="1" applyFill="1" applyBorder="1"/>
    <xf numFmtId="0" fontId="0" fillId="2" borderId="1" xfId="0" applyFill="1" applyBorder="1" applyAlignment="1">
      <alignment horizontal="center"/>
    </xf>
    <xf numFmtId="0" fontId="10" fillId="2" borderId="22" xfId="0" applyFont="1" applyFill="1" applyBorder="1" applyAlignment="1">
      <alignment horizontal="center" vertical="center"/>
    </xf>
    <xf numFmtId="0" fontId="10" fillId="2" borderId="23" xfId="0" applyFont="1" applyFill="1" applyBorder="1" applyAlignment="1">
      <alignment horizontal="center" vertical="center"/>
    </xf>
    <xf numFmtId="0" fontId="10" fillId="2" borderId="19" xfId="0" applyFont="1" applyFill="1" applyBorder="1" applyAlignment="1">
      <alignment horizontal="center" vertical="center"/>
    </xf>
    <xf numFmtId="0" fontId="10" fillId="2" borderId="18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10" fillId="2" borderId="13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wrapText="1"/>
    </xf>
    <xf numFmtId="0" fontId="3" fillId="5" borderId="3" xfId="0" applyFont="1" applyFill="1" applyBorder="1" applyAlignment="1">
      <alignment horizontal="center" wrapText="1"/>
    </xf>
    <xf numFmtId="0" fontId="3" fillId="10" borderId="2" xfId="0" applyFont="1" applyFill="1" applyBorder="1" applyAlignment="1">
      <alignment horizontal="center" wrapText="1"/>
    </xf>
    <xf numFmtId="0" fontId="3" fillId="10" borderId="3" xfId="0" applyFont="1" applyFill="1" applyBorder="1" applyAlignment="1">
      <alignment horizontal="center" wrapText="1"/>
    </xf>
    <xf numFmtId="0" fontId="3" fillId="5" borderId="15" xfId="0" applyFont="1" applyFill="1" applyBorder="1" applyAlignment="1">
      <alignment horizontal="center"/>
    </xf>
    <xf numFmtId="0" fontId="3" fillId="5" borderId="16" xfId="0" applyFont="1" applyFill="1" applyBorder="1" applyAlignment="1">
      <alignment horizontal="center"/>
    </xf>
    <xf numFmtId="0" fontId="3" fillId="5" borderId="17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/>
    </xf>
    <xf numFmtId="49" fontId="2" fillId="6" borderId="5" xfId="0" applyNumberFormat="1" applyFont="1" applyFill="1" applyBorder="1" applyAlignment="1">
      <alignment horizontal="center" vertical="center" wrapText="1"/>
    </xf>
    <xf numFmtId="49" fontId="2" fillId="6" borderId="10" xfId="0" applyNumberFormat="1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11" borderId="20" xfId="0" applyFont="1" applyFill="1" applyBorder="1" applyAlignment="1">
      <alignment horizontal="center" vertical="center"/>
    </xf>
    <xf numFmtId="0" fontId="2" fillId="13" borderId="1" xfId="0" applyFont="1" applyFill="1" applyBorder="1" applyAlignment="1">
      <alignment horizontal="center" vertical="center"/>
    </xf>
    <xf numFmtId="0" fontId="2" fillId="13" borderId="12" xfId="0" applyFont="1" applyFill="1" applyBorder="1" applyAlignment="1">
      <alignment horizontal="center" vertical="center"/>
    </xf>
    <xf numFmtId="0" fontId="2" fillId="12" borderId="15" xfId="0" applyFont="1" applyFill="1" applyBorder="1" applyAlignment="1">
      <alignment horizontal="center" vertical="center"/>
    </xf>
    <xf numFmtId="0" fontId="2" fillId="12" borderId="16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0" fontId="6" fillId="9" borderId="2" xfId="0" applyFont="1" applyFill="1" applyBorder="1" applyAlignment="1">
      <alignment horizontal="left" vertical="center"/>
    </xf>
    <xf numFmtId="0" fontId="6" fillId="9" borderId="4" xfId="0" applyFont="1" applyFill="1" applyBorder="1" applyAlignment="1">
      <alignment horizontal="left" vertical="center"/>
    </xf>
    <xf numFmtId="0" fontId="2" fillId="7" borderId="1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4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23</xdr:row>
      <xdr:rowOff>38101</xdr:rowOff>
    </xdr:from>
    <xdr:to>
      <xdr:col>12</xdr:col>
      <xdr:colOff>276225</xdr:colOff>
      <xdr:row>28</xdr:row>
      <xdr:rowOff>169603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" y="457201"/>
          <a:ext cx="8201025" cy="1331652"/>
        </a:xfrm>
        <a:prstGeom prst="rect">
          <a:avLst/>
        </a:prstGeom>
      </xdr:spPr>
    </xdr:pic>
    <xdr:clientData/>
  </xdr:twoCellAnchor>
  <xdr:twoCellAnchor editAs="oneCell">
    <xdr:from>
      <xdr:col>0</xdr:col>
      <xdr:colOff>295276</xdr:colOff>
      <xdr:row>42</xdr:row>
      <xdr:rowOff>9525</xdr:rowOff>
    </xdr:from>
    <xdr:to>
      <xdr:col>12</xdr:col>
      <xdr:colOff>534230</xdr:colOff>
      <xdr:row>55</xdr:row>
      <xdr:rowOff>9525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5276" y="4410075"/>
          <a:ext cx="8468554" cy="2724150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75</xdr:row>
      <xdr:rowOff>38100</xdr:rowOff>
    </xdr:from>
    <xdr:to>
      <xdr:col>12</xdr:col>
      <xdr:colOff>558336</xdr:colOff>
      <xdr:row>86</xdr:row>
      <xdr:rowOff>38100</xdr:rowOff>
    </xdr:to>
    <xdr:pic>
      <xdr:nvPicPr>
        <xdr:cNvPr id="7" name="图片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2400" y="10096500"/>
          <a:ext cx="8635536" cy="2305050"/>
        </a:xfrm>
        <a:prstGeom prst="rect">
          <a:avLst/>
        </a:prstGeom>
      </xdr:spPr>
    </xdr:pic>
    <xdr:clientData/>
  </xdr:twoCellAnchor>
  <xdr:twoCellAnchor editAs="oneCell">
    <xdr:from>
      <xdr:col>0</xdr:col>
      <xdr:colOff>209550</xdr:colOff>
      <xdr:row>93</xdr:row>
      <xdr:rowOff>57151</xdr:rowOff>
    </xdr:from>
    <xdr:to>
      <xdr:col>12</xdr:col>
      <xdr:colOff>553851</xdr:colOff>
      <xdr:row>108</xdr:row>
      <xdr:rowOff>142875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9550" y="13677901"/>
          <a:ext cx="8573901" cy="3228974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381000</xdr:colOff>
      <xdr:row>1</xdr:row>
      <xdr:rowOff>200025</xdr:rowOff>
    </xdr:from>
    <xdr:to>
      <xdr:col>8</xdr:col>
      <xdr:colOff>172720</xdr:colOff>
      <xdr:row>16</xdr:row>
      <xdr:rowOff>161925</xdr:rowOff>
    </xdr:to>
    <xdr:pic>
      <xdr:nvPicPr>
        <xdr:cNvPr id="9" name="图片 8"/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409575"/>
          <a:ext cx="5278120" cy="3105150"/>
        </a:xfrm>
        <a:prstGeom prst="rect">
          <a:avLst/>
        </a:prstGeom>
      </xdr:spPr>
    </xdr:pic>
    <xdr:clientData/>
  </xdr:twoCellAnchor>
  <xdr:twoCellAnchor editAs="oneCell">
    <xdr:from>
      <xdr:col>0</xdr:col>
      <xdr:colOff>276225</xdr:colOff>
      <xdr:row>62</xdr:row>
      <xdr:rowOff>85726</xdr:rowOff>
    </xdr:from>
    <xdr:to>
      <xdr:col>12</xdr:col>
      <xdr:colOff>542925</xdr:colOff>
      <xdr:row>66</xdr:row>
      <xdr:rowOff>124078</xdr:rowOff>
    </xdr:to>
    <xdr:pic>
      <xdr:nvPicPr>
        <xdr:cNvPr id="11" name="图片 10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6225" y="11610976"/>
          <a:ext cx="8496300" cy="8765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0</xdr:row>
          <xdr:rowOff>152400</xdr:rowOff>
        </xdr:from>
        <xdr:to>
          <xdr:col>3</xdr:col>
          <xdr:colOff>533400</xdr:colOff>
          <xdr:row>2</xdr:row>
          <xdr:rowOff>95250</xdr:rowOff>
        </xdr:to>
        <xdr:sp macro="" textlink="">
          <xdr:nvSpPr>
            <xdr:cNvPr id="17409" name="txtFunPath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0</xdr:row>
          <xdr:rowOff>142875</xdr:rowOff>
        </xdr:from>
        <xdr:to>
          <xdr:col>4</xdr:col>
          <xdr:colOff>923925</xdr:colOff>
          <xdr:row>2</xdr:row>
          <xdr:rowOff>114300</xdr:rowOff>
        </xdr:to>
        <xdr:sp macro="" textlink="">
          <xdr:nvSpPr>
            <xdr:cNvPr id="17410" name="btnSelFunPath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3</xdr:row>
          <xdr:rowOff>19050</xdr:rowOff>
        </xdr:from>
        <xdr:to>
          <xdr:col>4</xdr:col>
          <xdr:colOff>923925</xdr:colOff>
          <xdr:row>4</xdr:row>
          <xdr:rowOff>142875</xdr:rowOff>
        </xdr:to>
        <xdr:sp macro="" textlink="">
          <xdr:nvSpPr>
            <xdr:cNvPr id="17411" name="btnFunColl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0</xdr:row>
          <xdr:rowOff>142875</xdr:rowOff>
        </xdr:from>
        <xdr:to>
          <xdr:col>4</xdr:col>
          <xdr:colOff>190500</xdr:colOff>
          <xdr:row>2</xdr:row>
          <xdr:rowOff>95250</xdr:rowOff>
        </xdr:to>
        <xdr:sp macro="" textlink="">
          <xdr:nvSpPr>
            <xdr:cNvPr id="4097" name="txtWbsPath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685800</xdr:colOff>
          <xdr:row>0</xdr:row>
          <xdr:rowOff>152400</xdr:rowOff>
        </xdr:from>
        <xdr:to>
          <xdr:col>5</xdr:col>
          <xdr:colOff>581025</xdr:colOff>
          <xdr:row>2</xdr:row>
          <xdr:rowOff>95250</xdr:rowOff>
        </xdr:to>
        <xdr:sp macro="" textlink="">
          <xdr:nvSpPr>
            <xdr:cNvPr id="4103" name="btnSelWbsPath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685800</xdr:colOff>
          <xdr:row>2</xdr:row>
          <xdr:rowOff>161925</xdr:rowOff>
        </xdr:from>
        <xdr:to>
          <xdr:col>5</xdr:col>
          <xdr:colOff>552450</xdr:colOff>
          <xdr:row>4</xdr:row>
          <xdr:rowOff>104775</xdr:rowOff>
        </xdr:to>
        <xdr:sp macro="" textlink="">
          <xdr:nvSpPr>
            <xdr:cNvPr id="4104" name="btnWbsAys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3</xdr:row>
          <xdr:rowOff>9525</xdr:rowOff>
        </xdr:from>
        <xdr:to>
          <xdr:col>7</xdr:col>
          <xdr:colOff>657225</xdr:colOff>
          <xdr:row>4</xdr:row>
          <xdr:rowOff>133350</xdr:rowOff>
        </xdr:to>
        <xdr:sp macro="" textlink="">
          <xdr:nvSpPr>
            <xdr:cNvPr id="4106" name="btnClear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0</xdr:row>
          <xdr:rowOff>104775</xdr:rowOff>
        </xdr:from>
        <xdr:to>
          <xdr:col>3</xdr:col>
          <xdr:colOff>714375</xdr:colOff>
          <xdr:row>2</xdr:row>
          <xdr:rowOff>104775</xdr:rowOff>
        </xdr:to>
        <xdr:sp macro="" textlink="">
          <xdr:nvSpPr>
            <xdr:cNvPr id="24577" name="txtCodeRowsPath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0</xdr:row>
          <xdr:rowOff>142875</xdr:rowOff>
        </xdr:from>
        <xdr:to>
          <xdr:col>5</xdr:col>
          <xdr:colOff>266700</xdr:colOff>
          <xdr:row>2</xdr:row>
          <xdr:rowOff>104775</xdr:rowOff>
        </xdr:to>
        <xdr:sp macro="" textlink="">
          <xdr:nvSpPr>
            <xdr:cNvPr id="24578" name="btnSelCodeRowsPath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276225</xdr:colOff>
          <xdr:row>2</xdr:row>
          <xdr:rowOff>152400</xdr:rowOff>
        </xdr:from>
        <xdr:to>
          <xdr:col>5</xdr:col>
          <xdr:colOff>238125</xdr:colOff>
          <xdr:row>4</xdr:row>
          <xdr:rowOff>104775</xdr:rowOff>
        </xdr:to>
        <xdr:sp macro="" textlink="">
          <xdr:nvSpPr>
            <xdr:cNvPr id="24579" name="btnSelCodeRowsColl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2</xdr:row>
          <xdr:rowOff>152400</xdr:rowOff>
        </xdr:from>
        <xdr:to>
          <xdr:col>6</xdr:col>
          <xdr:colOff>485775</xdr:colOff>
          <xdr:row>4</xdr:row>
          <xdr:rowOff>104775</xdr:rowOff>
        </xdr:to>
        <xdr:sp macro="" textlink="">
          <xdr:nvSpPr>
            <xdr:cNvPr id="24580" name="btnClear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95250</xdr:rowOff>
        </xdr:from>
        <xdr:to>
          <xdr:col>5</xdr:col>
          <xdr:colOff>257175</xdr:colOff>
          <xdr:row>2</xdr:row>
          <xdr:rowOff>47625</xdr:rowOff>
        </xdr:to>
        <xdr:sp macro="" textlink="">
          <xdr:nvSpPr>
            <xdr:cNvPr id="1025" name="txtCodeCheckPath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0</xdr:row>
          <xdr:rowOff>76200</xdr:rowOff>
        </xdr:from>
        <xdr:to>
          <xdr:col>7</xdr:col>
          <xdr:colOff>180975</xdr:colOff>
          <xdr:row>2</xdr:row>
          <xdr:rowOff>19050</xdr:rowOff>
        </xdr:to>
        <xdr:sp macro="" textlink="">
          <xdr:nvSpPr>
            <xdr:cNvPr id="1026" name="btnSelCodeCheckPath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2</xdr:row>
          <xdr:rowOff>114300</xdr:rowOff>
        </xdr:from>
        <xdr:to>
          <xdr:col>7</xdr:col>
          <xdr:colOff>219075</xdr:colOff>
          <xdr:row>4</xdr:row>
          <xdr:rowOff>57150</xdr:rowOff>
        </xdr:to>
        <xdr:sp macro="" textlink="">
          <xdr:nvSpPr>
            <xdr:cNvPr id="1027" name="btnCodeCheckAy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2</xdr:row>
          <xdr:rowOff>104775</xdr:rowOff>
        </xdr:from>
        <xdr:to>
          <xdr:col>8</xdr:col>
          <xdr:colOff>628650</xdr:colOff>
          <xdr:row>4</xdr:row>
          <xdr:rowOff>57150</xdr:rowOff>
        </xdr:to>
        <xdr:sp macro="" textlink="">
          <xdr:nvSpPr>
            <xdr:cNvPr id="1028" name="btnClear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0</xdr:row>
          <xdr:rowOff>142875</xdr:rowOff>
        </xdr:from>
        <xdr:to>
          <xdr:col>5</xdr:col>
          <xdr:colOff>600075</xdr:colOff>
          <xdr:row>2</xdr:row>
          <xdr:rowOff>142875</xdr:rowOff>
        </xdr:to>
        <xdr:sp macro="" textlink="">
          <xdr:nvSpPr>
            <xdr:cNvPr id="33793" name="txtCodeCheckPath2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161925</xdr:rowOff>
        </xdr:from>
        <xdr:to>
          <xdr:col>7</xdr:col>
          <xdr:colOff>285750</xdr:colOff>
          <xdr:row>2</xdr:row>
          <xdr:rowOff>142875</xdr:rowOff>
        </xdr:to>
        <xdr:sp macro="" textlink="">
          <xdr:nvSpPr>
            <xdr:cNvPr id="33794" name="btnSelCodeCheckPath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9525</xdr:rowOff>
        </xdr:from>
        <xdr:to>
          <xdr:col>7</xdr:col>
          <xdr:colOff>304800</xdr:colOff>
          <xdr:row>4</xdr:row>
          <xdr:rowOff>133350</xdr:rowOff>
        </xdr:to>
        <xdr:sp macro="" textlink="">
          <xdr:nvSpPr>
            <xdr:cNvPr id="33795" name="btnCodeCheckAys2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685800</xdr:colOff>
          <xdr:row>2</xdr:row>
          <xdr:rowOff>152400</xdr:rowOff>
        </xdr:from>
        <xdr:to>
          <xdr:col>8</xdr:col>
          <xdr:colOff>723900</xdr:colOff>
          <xdr:row>4</xdr:row>
          <xdr:rowOff>104775</xdr:rowOff>
        </xdr:to>
        <xdr:sp macro="" textlink="">
          <xdr:nvSpPr>
            <xdr:cNvPr id="33796" name="btnClear" hidden="1">
              <a:extLst>
                <a:ext uri="{63B3BB69-23CF-44E3-9099-C40C66FF867C}">
                  <a14:compatExt spid="_x0000_s33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0</xdr:row>
          <xdr:rowOff>142875</xdr:rowOff>
        </xdr:from>
        <xdr:to>
          <xdr:col>5</xdr:col>
          <xdr:colOff>47625</xdr:colOff>
          <xdr:row>2</xdr:row>
          <xdr:rowOff>104775</xdr:rowOff>
        </xdr:to>
        <xdr:sp macro="" textlink="">
          <xdr:nvSpPr>
            <xdr:cNvPr id="11266" name="txtCasePath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0</xdr:row>
          <xdr:rowOff>142875</xdr:rowOff>
        </xdr:from>
        <xdr:to>
          <xdr:col>6</xdr:col>
          <xdr:colOff>76200</xdr:colOff>
          <xdr:row>2</xdr:row>
          <xdr:rowOff>85725</xdr:rowOff>
        </xdr:to>
        <xdr:sp macro="" textlink="">
          <xdr:nvSpPr>
            <xdr:cNvPr id="11267" name="btnSelCasePath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3</xdr:row>
          <xdr:rowOff>0</xdr:rowOff>
        </xdr:from>
        <xdr:to>
          <xdr:col>6</xdr:col>
          <xdr:colOff>85725</xdr:colOff>
          <xdr:row>4</xdr:row>
          <xdr:rowOff>114300</xdr:rowOff>
        </xdr:to>
        <xdr:sp macro="" textlink="">
          <xdr:nvSpPr>
            <xdr:cNvPr id="11268" name="btnCaseCollect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2</xdr:row>
          <xdr:rowOff>161925</xdr:rowOff>
        </xdr:from>
        <xdr:to>
          <xdr:col>6</xdr:col>
          <xdr:colOff>981075</xdr:colOff>
          <xdr:row>4</xdr:row>
          <xdr:rowOff>114300</xdr:rowOff>
        </xdr:to>
        <xdr:sp macro="" textlink="">
          <xdr:nvSpPr>
            <xdr:cNvPr id="11269" name="btnClear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76200</xdr:rowOff>
        </xdr:from>
        <xdr:to>
          <xdr:col>5</xdr:col>
          <xdr:colOff>447675</xdr:colOff>
          <xdr:row>3</xdr:row>
          <xdr:rowOff>38100</xdr:rowOff>
        </xdr:to>
        <xdr:sp macro="" textlink="">
          <xdr:nvSpPr>
            <xdr:cNvPr id="12289" name="txtBugPath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</xdr:row>
          <xdr:rowOff>76200</xdr:rowOff>
        </xdr:from>
        <xdr:to>
          <xdr:col>7</xdr:col>
          <xdr:colOff>66675</xdr:colOff>
          <xdr:row>3</xdr:row>
          <xdr:rowOff>19050</xdr:rowOff>
        </xdr:to>
        <xdr:sp macro="" textlink="">
          <xdr:nvSpPr>
            <xdr:cNvPr id="12290" name="btnSelBugPath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1</xdr:row>
          <xdr:rowOff>66675</xdr:rowOff>
        </xdr:from>
        <xdr:to>
          <xdr:col>8</xdr:col>
          <xdr:colOff>133350</xdr:colOff>
          <xdr:row>3</xdr:row>
          <xdr:rowOff>9525</xdr:rowOff>
        </xdr:to>
        <xdr:sp macro="" textlink="">
          <xdr:nvSpPr>
            <xdr:cNvPr id="12291" name="btnBugCollect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304800</xdr:colOff>
          <xdr:row>2</xdr:row>
          <xdr:rowOff>123825</xdr:rowOff>
        </xdr:from>
        <xdr:to>
          <xdr:col>11</xdr:col>
          <xdr:colOff>400050</xdr:colOff>
          <xdr:row>4</xdr:row>
          <xdr:rowOff>76200</xdr:rowOff>
        </xdr:to>
        <xdr:sp macro="" textlink="">
          <xdr:nvSpPr>
            <xdr:cNvPr id="12292" name="btnClear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381000</xdr:colOff>
          <xdr:row>2</xdr:row>
          <xdr:rowOff>123825</xdr:rowOff>
        </xdr:from>
        <xdr:to>
          <xdr:col>12</xdr:col>
          <xdr:colOff>504825</xdr:colOff>
          <xdr:row>4</xdr:row>
          <xdr:rowOff>66675</xdr:rowOff>
        </xdr:to>
        <xdr:sp macro="" textlink="">
          <xdr:nvSpPr>
            <xdr:cNvPr id="5124" name="btnKPICollect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6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0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6.xml"/><Relationship Id="rId7" Type="http://schemas.openxmlformats.org/officeDocument/2006/relationships/control" Target="../activeX/activeX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7.xml"/><Relationship Id="rId10" Type="http://schemas.openxmlformats.org/officeDocument/2006/relationships/image" Target="../media/image25.emf"/><Relationship Id="rId4" Type="http://schemas.openxmlformats.org/officeDocument/2006/relationships/image" Target="../media/image22.emf"/><Relationship Id="rId9" Type="http://schemas.openxmlformats.org/officeDocument/2006/relationships/control" Target="../activeX/activeX1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7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8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5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3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34.emf"/><Relationship Id="rId4" Type="http://schemas.openxmlformats.org/officeDocument/2006/relationships/control" Target="../activeX/activeX2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18"/>
  <sheetViews>
    <sheetView tabSelected="1" workbookViewId="0"/>
  </sheetViews>
  <sheetFormatPr defaultRowHeight="16.5" x14ac:dyDescent="0.3"/>
  <cols>
    <col min="1" max="16384" width="9" style="35"/>
  </cols>
  <sheetData>
    <row r="1" spans="1:1" x14ac:dyDescent="0.3">
      <c r="A1" s="35" t="s">
        <v>118</v>
      </c>
    </row>
    <row r="2" spans="1:1" x14ac:dyDescent="0.3">
      <c r="A2" s="35" t="s">
        <v>119</v>
      </c>
    </row>
    <row r="18" spans="1:1" x14ac:dyDescent="0.3">
      <c r="A18" s="35" t="s">
        <v>120</v>
      </c>
    </row>
    <row r="19" spans="1:1" x14ac:dyDescent="0.3">
      <c r="A19" s="35" t="s">
        <v>121</v>
      </c>
    </row>
    <row r="20" spans="1:1" x14ac:dyDescent="0.3">
      <c r="A20" s="35" t="s">
        <v>122</v>
      </c>
    </row>
    <row r="22" spans="1:1" x14ac:dyDescent="0.3">
      <c r="A22" s="35" t="s">
        <v>123</v>
      </c>
    </row>
    <row r="23" spans="1:1" x14ac:dyDescent="0.3">
      <c r="A23" s="35" t="s">
        <v>92</v>
      </c>
    </row>
    <row r="31" spans="1:1" x14ac:dyDescent="0.3">
      <c r="A31" s="35" t="s">
        <v>93</v>
      </c>
    </row>
    <row r="32" spans="1:1" x14ac:dyDescent="0.3">
      <c r="A32" s="35" t="s">
        <v>162</v>
      </c>
    </row>
    <row r="33" spans="1:1" x14ac:dyDescent="0.3">
      <c r="A33" s="35" t="s">
        <v>94</v>
      </c>
    </row>
    <row r="35" spans="1:1" x14ac:dyDescent="0.3">
      <c r="A35" s="35" t="s">
        <v>124</v>
      </c>
    </row>
    <row r="36" spans="1:1" x14ac:dyDescent="0.3">
      <c r="A36" s="35" t="s">
        <v>125</v>
      </c>
    </row>
    <row r="37" spans="1:1" x14ac:dyDescent="0.3">
      <c r="A37" s="35" t="s">
        <v>126</v>
      </c>
    </row>
    <row r="38" spans="1:1" x14ac:dyDescent="0.3">
      <c r="A38" s="35" t="s">
        <v>95</v>
      </c>
    </row>
    <row r="39" spans="1:1" x14ac:dyDescent="0.3">
      <c r="A39" s="35" t="s">
        <v>133</v>
      </c>
    </row>
    <row r="40" spans="1:1" x14ac:dyDescent="0.3">
      <c r="A40" s="35" t="s">
        <v>136</v>
      </c>
    </row>
    <row r="41" spans="1:1" x14ac:dyDescent="0.3">
      <c r="A41" s="35" t="s">
        <v>156</v>
      </c>
    </row>
    <row r="42" spans="1:1" x14ac:dyDescent="0.3">
      <c r="A42" s="35" t="s">
        <v>137</v>
      </c>
    </row>
    <row r="56" spans="1:1" x14ac:dyDescent="0.3">
      <c r="A56" s="35" t="s">
        <v>96</v>
      </c>
    </row>
    <row r="57" spans="1:1" x14ac:dyDescent="0.3">
      <c r="A57" s="35" t="s">
        <v>99</v>
      </c>
    </row>
    <row r="59" spans="1:1" x14ac:dyDescent="0.3">
      <c r="A59" s="35" t="s">
        <v>134</v>
      </c>
    </row>
    <row r="60" spans="1:1" x14ac:dyDescent="0.3">
      <c r="A60" s="35" t="s">
        <v>135</v>
      </c>
    </row>
    <row r="61" spans="1:1" x14ac:dyDescent="0.3">
      <c r="A61" s="35" t="s">
        <v>138</v>
      </c>
    </row>
    <row r="62" spans="1:1" x14ac:dyDescent="0.3">
      <c r="A62" s="35" t="s">
        <v>139</v>
      </c>
    </row>
    <row r="69" spans="1:1" x14ac:dyDescent="0.3">
      <c r="A69" s="35" t="s">
        <v>140</v>
      </c>
    </row>
    <row r="71" spans="1:1" x14ac:dyDescent="0.3">
      <c r="A71" s="35" t="s">
        <v>141</v>
      </c>
    </row>
    <row r="72" spans="1:1" x14ac:dyDescent="0.3">
      <c r="A72" s="35" t="s">
        <v>100</v>
      </c>
    </row>
    <row r="73" spans="1:1" x14ac:dyDescent="0.3">
      <c r="A73" s="35" t="s">
        <v>157</v>
      </c>
    </row>
    <row r="74" spans="1:1" x14ac:dyDescent="0.3">
      <c r="A74" s="35" t="s">
        <v>102</v>
      </c>
    </row>
    <row r="75" spans="1:1" x14ac:dyDescent="0.3">
      <c r="A75" s="35" t="s">
        <v>104</v>
      </c>
    </row>
    <row r="88" spans="1:1" x14ac:dyDescent="0.3">
      <c r="A88" s="35" t="s">
        <v>142</v>
      </c>
    </row>
    <row r="89" spans="1:1" x14ac:dyDescent="0.3">
      <c r="A89" s="35" t="s">
        <v>105</v>
      </c>
    </row>
    <row r="90" spans="1:1" x14ac:dyDescent="0.3">
      <c r="A90" s="35" t="s">
        <v>158</v>
      </c>
    </row>
    <row r="91" spans="1:1" x14ac:dyDescent="0.3">
      <c r="A91" s="35" t="s">
        <v>106</v>
      </c>
    </row>
    <row r="92" spans="1:1" x14ac:dyDescent="0.3">
      <c r="A92" s="35" t="s">
        <v>143</v>
      </c>
    </row>
    <row r="93" spans="1:1" x14ac:dyDescent="0.3">
      <c r="A93" s="35" t="s">
        <v>127</v>
      </c>
    </row>
    <row r="109" spans="1:1" x14ac:dyDescent="0.3">
      <c r="A109" s="35" t="s">
        <v>103</v>
      </c>
    </row>
    <row r="111" spans="1:1" x14ac:dyDescent="0.3">
      <c r="A111" s="35" t="s">
        <v>144</v>
      </c>
    </row>
    <row r="112" spans="1:1" x14ac:dyDescent="0.3">
      <c r="A112" s="35" t="s">
        <v>145</v>
      </c>
    </row>
    <row r="113" spans="1:1" x14ac:dyDescent="0.3">
      <c r="A113" s="35" t="s">
        <v>97</v>
      </c>
    </row>
    <row r="114" spans="1:1" x14ac:dyDescent="0.3">
      <c r="A114" s="35" t="s">
        <v>98</v>
      </c>
    </row>
    <row r="116" spans="1:1" x14ac:dyDescent="0.3">
      <c r="A116" s="35" t="s">
        <v>101</v>
      </c>
    </row>
    <row r="117" spans="1:1" x14ac:dyDescent="0.3">
      <c r="A117" s="35" t="s">
        <v>159</v>
      </c>
    </row>
    <row r="118" spans="1:1" x14ac:dyDescent="0.3">
      <c r="A118" s="35" t="s">
        <v>230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E35"/>
  <sheetViews>
    <sheetView workbookViewId="0">
      <selection sqref="A1:E5"/>
    </sheetView>
  </sheetViews>
  <sheetFormatPr defaultRowHeight="13.5" x14ac:dyDescent="0.15"/>
  <cols>
    <col min="2" max="2" width="10.5" customWidth="1"/>
    <col min="3" max="3" width="24.5" customWidth="1"/>
    <col min="5" max="5" width="18.75" customWidth="1"/>
  </cols>
  <sheetData>
    <row r="1" spans="1:5" x14ac:dyDescent="0.15">
      <c r="A1" s="64"/>
      <c r="B1" s="64"/>
      <c r="C1" s="64"/>
      <c r="D1" s="64"/>
      <c r="E1" s="64"/>
    </row>
    <row r="2" spans="1:5" x14ac:dyDescent="0.15">
      <c r="A2" s="64"/>
      <c r="B2" s="64"/>
      <c r="C2" s="64"/>
      <c r="D2" s="64"/>
      <c r="E2" s="64"/>
    </row>
    <row r="3" spans="1:5" x14ac:dyDescent="0.15">
      <c r="A3" s="64"/>
      <c r="B3" s="64"/>
      <c r="C3" s="64"/>
      <c r="D3" s="64"/>
      <c r="E3" s="64"/>
    </row>
    <row r="4" spans="1:5" x14ac:dyDescent="0.15">
      <c r="A4" s="64"/>
      <c r="B4" s="64"/>
      <c r="C4" s="64"/>
      <c r="D4" s="64"/>
      <c r="E4" s="64"/>
    </row>
    <row r="5" spans="1:5" x14ac:dyDescent="0.15">
      <c r="A5" s="64"/>
      <c r="B5" s="64"/>
      <c r="C5" s="64"/>
      <c r="D5" s="64"/>
      <c r="E5" s="64"/>
    </row>
    <row r="6" spans="1:5" ht="15.75" customHeight="1" x14ac:dyDescent="0.15">
      <c r="A6" s="37" t="s">
        <v>107</v>
      </c>
      <c r="B6" s="37" t="s">
        <v>108</v>
      </c>
      <c r="C6" s="37" t="s">
        <v>109</v>
      </c>
      <c r="D6" s="38" t="s">
        <v>110</v>
      </c>
      <c r="E6" s="38" t="s">
        <v>111</v>
      </c>
    </row>
    <row r="7" spans="1:5" x14ac:dyDescent="0.15">
      <c r="A7" s="57">
        <v>1</v>
      </c>
      <c r="B7" s="57" t="s">
        <v>163</v>
      </c>
      <c r="C7" s="57" t="s">
        <v>164</v>
      </c>
      <c r="D7" s="57" t="s">
        <v>160</v>
      </c>
      <c r="E7" s="57"/>
    </row>
    <row r="8" spans="1:5" x14ac:dyDescent="0.15">
      <c r="A8" s="57">
        <v>2</v>
      </c>
      <c r="B8" s="57" t="s">
        <v>165</v>
      </c>
      <c r="C8" s="57" t="s">
        <v>166</v>
      </c>
      <c r="D8" s="57" t="s">
        <v>160</v>
      </c>
      <c r="E8" s="57"/>
    </row>
    <row r="9" spans="1:5" x14ac:dyDescent="0.15">
      <c r="A9" s="57">
        <v>3</v>
      </c>
      <c r="B9" s="57" t="s">
        <v>167</v>
      </c>
      <c r="C9" s="57" t="s">
        <v>168</v>
      </c>
      <c r="D9" s="57" t="s">
        <v>160</v>
      </c>
      <c r="E9" s="57"/>
    </row>
    <row r="10" spans="1:5" x14ac:dyDescent="0.15">
      <c r="A10" s="57">
        <v>4</v>
      </c>
      <c r="B10" s="57" t="s">
        <v>169</v>
      </c>
      <c r="C10" s="57" t="s">
        <v>170</v>
      </c>
      <c r="D10" s="57" t="s">
        <v>160</v>
      </c>
      <c r="E10" s="57"/>
    </row>
    <row r="11" spans="1:5" x14ac:dyDescent="0.15">
      <c r="A11" s="57">
        <v>5</v>
      </c>
      <c r="B11" s="57" t="s">
        <v>171</v>
      </c>
      <c r="C11" s="57" t="s">
        <v>172</v>
      </c>
      <c r="D11" s="57" t="s">
        <v>160</v>
      </c>
      <c r="E11" s="57"/>
    </row>
    <row r="12" spans="1:5" x14ac:dyDescent="0.15">
      <c r="A12" s="57">
        <v>6</v>
      </c>
      <c r="B12" s="57" t="s">
        <v>173</v>
      </c>
      <c r="C12" s="57" t="s">
        <v>174</v>
      </c>
      <c r="D12" s="57" t="s">
        <v>160</v>
      </c>
      <c r="E12" s="57"/>
    </row>
    <row r="13" spans="1:5" x14ac:dyDescent="0.15">
      <c r="A13" s="57">
        <v>7</v>
      </c>
      <c r="B13" s="57" t="s">
        <v>175</v>
      </c>
      <c r="C13" s="57" t="s">
        <v>176</v>
      </c>
      <c r="D13" s="57" t="s">
        <v>160</v>
      </c>
      <c r="E13" s="57"/>
    </row>
    <row r="14" spans="1:5" x14ac:dyDescent="0.15">
      <c r="A14" s="57">
        <v>8</v>
      </c>
      <c r="B14" s="57" t="s">
        <v>177</v>
      </c>
      <c r="C14" s="57" t="s">
        <v>178</v>
      </c>
      <c r="D14" s="57" t="s">
        <v>160</v>
      </c>
      <c r="E14" s="57"/>
    </row>
    <row r="15" spans="1:5" x14ac:dyDescent="0.15">
      <c r="A15" s="57">
        <v>9</v>
      </c>
      <c r="B15" s="57" t="s">
        <v>179</v>
      </c>
      <c r="C15" s="57" t="s">
        <v>180</v>
      </c>
      <c r="D15" s="57" t="s">
        <v>160</v>
      </c>
      <c r="E15" s="57"/>
    </row>
    <row r="16" spans="1:5" x14ac:dyDescent="0.15">
      <c r="A16" s="57">
        <v>10</v>
      </c>
      <c r="B16" s="57" t="s">
        <v>181</v>
      </c>
      <c r="C16" s="57" t="s">
        <v>182</v>
      </c>
      <c r="D16" s="57" t="s">
        <v>160</v>
      </c>
      <c r="E16" s="57"/>
    </row>
    <row r="17" spans="1:5" x14ac:dyDescent="0.15">
      <c r="A17" s="57">
        <v>11</v>
      </c>
      <c r="B17" s="57" t="s">
        <v>183</v>
      </c>
      <c r="C17" s="57" t="s">
        <v>184</v>
      </c>
      <c r="D17" s="57" t="s">
        <v>160</v>
      </c>
      <c r="E17" s="57"/>
    </row>
    <row r="18" spans="1:5" x14ac:dyDescent="0.15">
      <c r="A18" s="57">
        <v>12</v>
      </c>
      <c r="B18" s="57" t="s">
        <v>185</v>
      </c>
      <c r="C18" s="57" t="s">
        <v>186</v>
      </c>
      <c r="D18" s="57" t="s">
        <v>160</v>
      </c>
      <c r="E18" s="57"/>
    </row>
    <row r="19" spans="1:5" x14ac:dyDescent="0.15">
      <c r="A19" s="57">
        <v>13</v>
      </c>
      <c r="B19" s="57" t="s">
        <v>187</v>
      </c>
      <c r="C19" s="57" t="s">
        <v>188</v>
      </c>
      <c r="D19" s="57" t="s">
        <v>160</v>
      </c>
      <c r="E19" s="57"/>
    </row>
    <row r="20" spans="1:5" x14ac:dyDescent="0.15">
      <c r="A20" s="57">
        <v>14</v>
      </c>
      <c r="B20" s="57" t="s">
        <v>189</v>
      </c>
      <c r="C20" s="57" t="s">
        <v>190</v>
      </c>
      <c r="D20" s="57" t="s">
        <v>160</v>
      </c>
      <c r="E20" s="57"/>
    </row>
    <row r="21" spans="1:5" x14ac:dyDescent="0.15">
      <c r="A21" s="57">
        <v>15</v>
      </c>
      <c r="B21" s="57" t="s">
        <v>191</v>
      </c>
      <c r="C21" s="57" t="s">
        <v>192</v>
      </c>
      <c r="D21" s="57" t="s">
        <v>160</v>
      </c>
      <c r="E21" s="57"/>
    </row>
    <row r="22" spans="1:5" x14ac:dyDescent="0.15">
      <c r="A22" s="57">
        <v>16</v>
      </c>
      <c r="B22" s="57" t="s">
        <v>193</v>
      </c>
      <c r="C22" s="57" t="s">
        <v>194</v>
      </c>
      <c r="D22" s="57" t="s">
        <v>160</v>
      </c>
      <c r="E22" s="57"/>
    </row>
    <row r="23" spans="1:5" x14ac:dyDescent="0.15">
      <c r="A23" s="57">
        <v>17</v>
      </c>
      <c r="B23" s="57" t="s">
        <v>195</v>
      </c>
      <c r="C23" s="57" t="s">
        <v>196</v>
      </c>
      <c r="D23" s="57" t="s">
        <v>160</v>
      </c>
      <c r="E23" s="57"/>
    </row>
    <row r="24" spans="1:5" x14ac:dyDescent="0.15">
      <c r="A24" s="57">
        <v>18</v>
      </c>
      <c r="B24" s="57" t="s">
        <v>197</v>
      </c>
      <c r="C24" s="57" t="s">
        <v>198</v>
      </c>
      <c r="D24" s="57" t="s">
        <v>160</v>
      </c>
      <c r="E24" s="57"/>
    </row>
    <row r="25" spans="1:5" x14ac:dyDescent="0.15">
      <c r="A25" s="57">
        <v>19</v>
      </c>
      <c r="B25" s="57" t="s">
        <v>199</v>
      </c>
      <c r="C25" s="57" t="s">
        <v>200</v>
      </c>
      <c r="D25" s="57" t="s">
        <v>160</v>
      </c>
      <c r="E25" s="57"/>
    </row>
    <row r="26" spans="1:5" x14ac:dyDescent="0.15">
      <c r="A26" s="57">
        <v>20</v>
      </c>
      <c r="B26" s="57" t="s">
        <v>201</v>
      </c>
      <c r="C26" s="57" t="s">
        <v>202</v>
      </c>
      <c r="D26" s="57" t="s">
        <v>160</v>
      </c>
      <c r="E26" s="57"/>
    </row>
    <row r="27" spans="1:5" x14ac:dyDescent="0.15">
      <c r="A27" s="57">
        <v>21</v>
      </c>
      <c r="B27" s="57" t="s">
        <v>203</v>
      </c>
      <c r="C27" s="57" t="s">
        <v>204</v>
      </c>
      <c r="D27" s="57" t="s">
        <v>160</v>
      </c>
      <c r="E27" s="57"/>
    </row>
    <row r="28" spans="1:5" x14ac:dyDescent="0.15">
      <c r="A28" s="57">
        <v>22</v>
      </c>
      <c r="B28" s="57" t="s">
        <v>205</v>
      </c>
      <c r="C28" s="57" t="s">
        <v>206</v>
      </c>
      <c r="D28" s="57" t="s">
        <v>160</v>
      </c>
      <c r="E28" s="57"/>
    </row>
    <row r="29" spans="1:5" x14ac:dyDescent="0.15">
      <c r="A29" s="57">
        <v>23</v>
      </c>
      <c r="B29" s="57" t="s">
        <v>207</v>
      </c>
      <c r="C29" s="57" t="s">
        <v>208</v>
      </c>
      <c r="D29" s="57" t="s">
        <v>160</v>
      </c>
      <c r="E29" s="57"/>
    </row>
    <row r="30" spans="1:5" x14ac:dyDescent="0.15">
      <c r="A30" s="57">
        <v>24</v>
      </c>
      <c r="B30" s="57" t="s">
        <v>209</v>
      </c>
      <c r="C30" s="57" t="s">
        <v>210</v>
      </c>
      <c r="D30" s="57" t="s">
        <v>160</v>
      </c>
      <c r="E30" s="57"/>
    </row>
    <row r="31" spans="1:5" x14ac:dyDescent="0.15">
      <c r="A31" s="57">
        <v>25</v>
      </c>
      <c r="B31" s="57" t="s">
        <v>211</v>
      </c>
      <c r="C31" s="57" t="s">
        <v>212</v>
      </c>
      <c r="D31" s="57" t="s">
        <v>160</v>
      </c>
      <c r="E31" s="57"/>
    </row>
    <row r="32" spans="1:5" x14ac:dyDescent="0.15">
      <c r="A32" s="57">
        <v>26</v>
      </c>
      <c r="B32" s="57" t="s">
        <v>213</v>
      </c>
      <c r="C32" s="57" t="s">
        <v>214</v>
      </c>
      <c r="D32" s="57" t="s">
        <v>160</v>
      </c>
      <c r="E32" s="57"/>
    </row>
    <row r="33" spans="1:5" x14ac:dyDescent="0.15">
      <c r="A33" s="57">
        <v>27</v>
      </c>
      <c r="B33" s="57" t="s">
        <v>215</v>
      </c>
      <c r="C33" s="57" t="s">
        <v>216</v>
      </c>
      <c r="D33" s="57" t="s">
        <v>160</v>
      </c>
      <c r="E33" s="57"/>
    </row>
    <row r="34" spans="1:5" x14ac:dyDescent="0.15">
      <c r="A34" s="57">
        <v>28</v>
      </c>
      <c r="B34" s="57" t="s">
        <v>217</v>
      </c>
      <c r="C34" s="57" t="s">
        <v>218</v>
      </c>
      <c r="D34" s="57" t="s">
        <v>160</v>
      </c>
      <c r="E34" s="57"/>
    </row>
    <row r="35" spans="1:5" x14ac:dyDescent="0.15">
      <c r="A35" s="57">
        <v>29</v>
      </c>
      <c r="B35" s="57" t="s">
        <v>219</v>
      </c>
      <c r="C35" s="57" t="s">
        <v>220</v>
      </c>
      <c r="D35" s="57" t="s">
        <v>160</v>
      </c>
      <c r="E35" s="57"/>
    </row>
  </sheetData>
  <mergeCells count="1">
    <mergeCell ref="A1:E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txtFunPath">
          <controlPr defaultSize="0" autoLine="0" r:id="rId5">
            <anchor moveWithCells="1">
              <from>
                <xdr:col>0</xdr:col>
                <xdr:colOff>361950</xdr:colOff>
                <xdr:row>0</xdr:row>
                <xdr:rowOff>152400</xdr:rowOff>
              </from>
              <to>
                <xdr:col>3</xdr:col>
                <xdr:colOff>533400</xdr:colOff>
                <xdr:row>2</xdr:row>
                <xdr:rowOff>95250</xdr:rowOff>
              </to>
            </anchor>
          </controlPr>
        </control>
      </mc:Choice>
      <mc:Fallback>
        <control shapeId="17409" r:id="rId4" name="txtFunPath"/>
      </mc:Fallback>
    </mc:AlternateContent>
    <mc:AlternateContent xmlns:mc="http://schemas.openxmlformats.org/markup-compatibility/2006">
      <mc:Choice Requires="x14">
        <control shapeId="17410" r:id="rId6" name="btnSelFunPath">
          <controlPr defaultSize="0" autoLine="0" r:id="rId7">
            <anchor moveWithCells="1">
              <from>
                <xdr:col>4</xdr:col>
                <xdr:colOff>123825</xdr:colOff>
                <xdr:row>0</xdr:row>
                <xdr:rowOff>142875</xdr:rowOff>
              </from>
              <to>
                <xdr:col>4</xdr:col>
                <xdr:colOff>923925</xdr:colOff>
                <xdr:row>2</xdr:row>
                <xdr:rowOff>114300</xdr:rowOff>
              </to>
            </anchor>
          </controlPr>
        </control>
      </mc:Choice>
      <mc:Fallback>
        <control shapeId="17410" r:id="rId6" name="btnSelFunPath"/>
      </mc:Fallback>
    </mc:AlternateContent>
    <mc:AlternateContent xmlns:mc="http://schemas.openxmlformats.org/markup-compatibility/2006">
      <mc:Choice Requires="x14">
        <control shapeId="17411" r:id="rId8" name="btnFunColl">
          <controlPr defaultSize="0" autoLine="0" r:id="rId9">
            <anchor moveWithCells="1">
              <from>
                <xdr:col>4</xdr:col>
                <xdr:colOff>133350</xdr:colOff>
                <xdr:row>3</xdr:row>
                <xdr:rowOff>19050</xdr:rowOff>
              </from>
              <to>
                <xdr:col>4</xdr:col>
                <xdr:colOff>923925</xdr:colOff>
                <xdr:row>4</xdr:row>
                <xdr:rowOff>142875</xdr:rowOff>
              </to>
            </anchor>
          </controlPr>
        </control>
      </mc:Choice>
      <mc:Fallback>
        <control shapeId="17411" r:id="rId8" name="btnFunCol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6"/>
  <sheetViews>
    <sheetView zoomScaleNormal="100" workbookViewId="0">
      <selection sqref="A1:I5"/>
    </sheetView>
  </sheetViews>
  <sheetFormatPr defaultRowHeight="13.5" x14ac:dyDescent="0.15"/>
  <cols>
    <col min="1" max="1" width="5.625" customWidth="1"/>
    <col min="2" max="2" width="13.625" customWidth="1"/>
    <col min="3" max="3" width="22.625" customWidth="1"/>
    <col min="4" max="5" width="10.375" bestFit="1" customWidth="1"/>
    <col min="6" max="7" width="10.375" customWidth="1"/>
    <col min="8" max="9" width="9.625" bestFit="1" customWidth="1"/>
  </cols>
  <sheetData>
    <row r="1" spans="1:16" x14ac:dyDescent="0.15">
      <c r="A1" s="64"/>
      <c r="B1" s="64"/>
      <c r="C1" s="64"/>
      <c r="D1" s="64"/>
      <c r="E1" s="64"/>
      <c r="F1" s="64"/>
      <c r="G1" s="64"/>
      <c r="H1" s="64"/>
      <c r="I1" s="64"/>
      <c r="J1" s="34"/>
      <c r="K1" s="34"/>
      <c r="L1" s="34"/>
      <c r="M1" s="34"/>
      <c r="N1" s="34"/>
      <c r="O1" s="34"/>
      <c r="P1" s="2"/>
    </row>
    <row r="2" spans="1:16" x14ac:dyDescent="0.15">
      <c r="A2" s="64"/>
      <c r="B2" s="64"/>
      <c r="C2" s="64"/>
      <c r="D2" s="64"/>
      <c r="E2" s="64"/>
      <c r="F2" s="64"/>
      <c r="G2" s="64"/>
      <c r="H2" s="64"/>
      <c r="I2" s="64"/>
      <c r="J2" s="34"/>
      <c r="K2" s="34"/>
      <c r="L2" s="34"/>
      <c r="M2" s="34"/>
      <c r="N2" s="34"/>
      <c r="O2" s="34"/>
      <c r="P2" s="2"/>
    </row>
    <row r="3" spans="1:16" x14ac:dyDescent="0.15">
      <c r="A3" s="64"/>
      <c r="B3" s="64"/>
      <c r="C3" s="64"/>
      <c r="D3" s="64"/>
      <c r="E3" s="64"/>
      <c r="F3" s="64"/>
      <c r="G3" s="64"/>
      <c r="H3" s="64"/>
      <c r="I3" s="64"/>
      <c r="J3" s="34"/>
      <c r="K3" s="34"/>
      <c r="L3" s="34"/>
      <c r="M3" s="34"/>
      <c r="N3" s="34"/>
      <c r="O3" s="34"/>
      <c r="P3" s="2"/>
    </row>
    <row r="4" spans="1:16" x14ac:dyDescent="0.15">
      <c r="A4" s="64"/>
      <c r="B4" s="64"/>
      <c r="C4" s="64"/>
      <c r="D4" s="64"/>
      <c r="E4" s="64"/>
      <c r="F4" s="64"/>
      <c r="G4" s="64"/>
      <c r="H4" s="64"/>
      <c r="I4" s="64"/>
      <c r="J4" s="34"/>
      <c r="K4" s="34"/>
      <c r="L4" s="34"/>
      <c r="M4" s="34"/>
      <c r="N4" s="34"/>
      <c r="O4" s="34"/>
      <c r="P4" s="2"/>
    </row>
    <row r="5" spans="1:16" x14ac:dyDescent="0.15">
      <c r="A5" s="64"/>
      <c r="B5" s="64"/>
      <c r="C5" s="64"/>
      <c r="D5" s="64"/>
      <c r="E5" s="64"/>
      <c r="F5" s="64"/>
      <c r="G5" s="64"/>
      <c r="H5" s="64"/>
      <c r="I5" s="64"/>
      <c r="J5" s="34"/>
      <c r="K5" s="34"/>
      <c r="L5" s="34"/>
      <c r="M5" s="34"/>
      <c r="N5" s="34"/>
      <c r="O5" s="34"/>
      <c r="P5" s="2"/>
    </row>
    <row r="6" spans="1:16" ht="28.5" x14ac:dyDescent="0.15">
      <c r="A6" s="54" t="s">
        <v>221</v>
      </c>
      <c r="B6" s="54" t="s">
        <v>222</v>
      </c>
      <c r="C6" s="54" t="s">
        <v>223</v>
      </c>
      <c r="D6" s="55" t="s">
        <v>224</v>
      </c>
      <c r="E6" s="56" t="s">
        <v>225</v>
      </c>
      <c r="F6" s="56" t="s">
        <v>226</v>
      </c>
      <c r="G6" s="56" t="s">
        <v>227</v>
      </c>
      <c r="H6" s="56" t="s">
        <v>228</v>
      </c>
      <c r="I6" s="55" t="s">
        <v>229</v>
      </c>
    </row>
  </sheetData>
  <mergeCells count="1">
    <mergeCell ref="A1:I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btnWbsAys">
          <controlPr defaultSize="0" autoLine="0" r:id="rId5">
            <anchor moveWithCells="1">
              <from>
                <xdr:col>4</xdr:col>
                <xdr:colOff>685800</xdr:colOff>
                <xdr:row>2</xdr:row>
                <xdr:rowOff>161925</xdr:rowOff>
              </from>
              <to>
                <xdr:col>5</xdr:col>
                <xdr:colOff>552450</xdr:colOff>
                <xdr:row>4</xdr:row>
                <xdr:rowOff>104775</xdr:rowOff>
              </to>
            </anchor>
          </controlPr>
        </control>
      </mc:Choice>
      <mc:Fallback>
        <control shapeId="4104" r:id="rId4" name="btnWbsAys"/>
      </mc:Fallback>
    </mc:AlternateContent>
    <mc:AlternateContent xmlns:mc="http://schemas.openxmlformats.org/markup-compatibility/2006">
      <mc:Choice Requires="x14">
        <control shapeId="4103" r:id="rId6" name="btnSelWbsPath">
          <controlPr defaultSize="0" autoLine="0" r:id="rId7">
            <anchor moveWithCells="1">
              <from>
                <xdr:col>4</xdr:col>
                <xdr:colOff>685800</xdr:colOff>
                <xdr:row>0</xdr:row>
                <xdr:rowOff>152400</xdr:rowOff>
              </from>
              <to>
                <xdr:col>5</xdr:col>
                <xdr:colOff>581025</xdr:colOff>
                <xdr:row>2</xdr:row>
                <xdr:rowOff>95250</xdr:rowOff>
              </to>
            </anchor>
          </controlPr>
        </control>
      </mc:Choice>
      <mc:Fallback>
        <control shapeId="4103" r:id="rId6" name="btnSelWbsPath"/>
      </mc:Fallback>
    </mc:AlternateContent>
    <mc:AlternateContent xmlns:mc="http://schemas.openxmlformats.org/markup-compatibility/2006">
      <mc:Choice Requires="x14">
        <control shapeId="4097" r:id="rId8" name="txtWbsPath">
          <controlPr defaultSize="0" autoLine="0" r:id="rId9">
            <anchor moveWithCells="1">
              <from>
                <xdr:col>1</xdr:col>
                <xdr:colOff>28575</xdr:colOff>
                <xdr:row>0</xdr:row>
                <xdr:rowOff>142875</xdr:rowOff>
              </from>
              <to>
                <xdr:col>4</xdr:col>
                <xdr:colOff>190500</xdr:colOff>
                <xdr:row>2</xdr:row>
                <xdr:rowOff>95250</xdr:rowOff>
              </to>
            </anchor>
          </controlPr>
        </control>
      </mc:Choice>
      <mc:Fallback>
        <control shapeId="4097" r:id="rId8" name="txtWbsPath"/>
      </mc:Fallback>
    </mc:AlternateContent>
    <mc:AlternateContent xmlns:mc="http://schemas.openxmlformats.org/markup-compatibility/2006">
      <mc:Choice Requires="x14">
        <control shapeId="4106" r:id="rId10" name="btnClear">
          <controlPr defaultSize="0" autoLine="0" r:id="rId11">
            <anchor moveWithCells="1">
              <from>
                <xdr:col>6</xdr:col>
                <xdr:colOff>666750</xdr:colOff>
                <xdr:row>3</xdr:row>
                <xdr:rowOff>9525</xdr:rowOff>
              </from>
              <to>
                <xdr:col>7</xdr:col>
                <xdr:colOff>657225</xdr:colOff>
                <xdr:row>4</xdr:row>
                <xdr:rowOff>133350</xdr:rowOff>
              </to>
            </anchor>
          </controlPr>
        </control>
      </mc:Choice>
      <mc:Fallback>
        <control shapeId="4106" r:id="rId10" name="btnClea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6"/>
  <sheetViews>
    <sheetView workbookViewId="0">
      <selection sqref="A1:G5"/>
    </sheetView>
  </sheetViews>
  <sheetFormatPr defaultRowHeight="13.5" x14ac:dyDescent="0.15"/>
  <cols>
    <col min="1" max="1" width="5.5" customWidth="1"/>
    <col min="2" max="2" width="11.125" customWidth="1"/>
    <col min="3" max="3" width="25.5" customWidth="1"/>
    <col min="4" max="4" width="12" bestFit="1" customWidth="1"/>
    <col min="5" max="6" width="10.75" bestFit="1" customWidth="1"/>
    <col min="7" max="7" width="12" bestFit="1" customWidth="1"/>
  </cols>
  <sheetData>
    <row r="1" spans="1:7" x14ac:dyDescent="0.15">
      <c r="A1" s="65"/>
      <c r="B1" s="66"/>
      <c r="C1" s="66"/>
      <c r="D1" s="66"/>
      <c r="E1" s="66"/>
      <c r="F1" s="66"/>
      <c r="G1" s="67"/>
    </row>
    <row r="2" spans="1:7" x14ac:dyDescent="0.15">
      <c r="A2" s="68"/>
      <c r="B2" s="69"/>
      <c r="C2" s="69"/>
      <c r="D2" s="69"/>
      <c r="E2" s="69"/>
      <c r="F2" s="69"/>
      <c r="G2" s="70"/>
    </row>
    <row r="3" spans="1:7" x14ac:dyDescent="0.15">
      <c r="A3" s="68"/>
      <c r="B3" s="69"/>
      <c r="C3" s="69"/>
      <c r="D3" s="69"/>
      <c r="E3" s="69"/>
      <c r="F3" s="69"/>
      <c r="G3" s="70"/>
    </row>
    <row r="4" spans="1:7" x14ac:dyDescent="0.15">
      <c r="A4" s="68"/>
      <c r="B4" s="69"/>
      <c r="C4" s="69"/>
      <c r="D4" s="69"/>
      <c r="E4" s="69"/>
      <c r="F4" s="69"/>
      <c r="G4" s="70"/>
    </row>
    <row r="5" spans="1:7" x14ac:dyDescent="0.15">
      <c r="A5" s="71"/>
      <c r="B5" s="72"/>
      <c r="C5" s="72"/>
      <c r="D5" s="72"/>
      <c r="E5" s="72"/>
      <c r="F5" s="72"/>
      <c r="G5" s="73"/>
    </row>
    <row r="6" spans="1:7" ht="20.25" customHeight="1" x14ac:dyDescent="0.15">
      <c r="A6" s="31" t="s">
        <v>47</v>
      </c>
      <c r="B6" s="31" t="s">
        <v>3</v>
      </c>
      <c r="C6" s="31" t="s">
        <v>4</v>
      </c>
      <c r="D6" s="32" t="s">
        <v>87</v>
      </c>
      <c r="E6" s="32" t="s">
        <v>88</v>
      </c>
      <c r="F6" s="32" t="s">
        <v>89</v>
      </c>
      <c r="G6" s="32" t="s">
        <v>90</v>
      </c>
    </row>
  </sheetData>
  <mergeCells count="1">
    <mergeCell ref="A1:G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4577" r:id="rId4" name="txtCodeRowsPath">
          <controlPr defaultSize="0" autoLine="0" r:id="rId5">
            <anchor moveWithCells="1">
              <from>
                <xdr:col>0</xdr:col>
                <xdr:colOff>361950</xdr:colOff>
                <xdr:row>0</xdr:row>
                <xdr:rowOff>104775</xdr:rowOff>
              </from>
              <to>
                <xdr:col>3</xdr:col>
                <xdr:colOff>714375</xdr:colOff>
                <xdr:row>2</xdr:row>
                <xdr:rowOff>104775</xdr:rowOff>
              </to>
            </anchor>
          </controlPr>
        </control>
      </mc:Choice>
      <mc:Fallback>
        <control shapeId="24577" r:id="rId4" name="txtCodeRowsPath"/>
      </mc:Fallback>
    </mc:AlternateContent>
    <mc:AlternateContent xmlns:mc="http://schemas.openxmlformats.org/markup-compatibility/2006">
      <mc:Choice Requires="x14">
        <control shapeId="24578" r:id="rId6" name="btnSelCodeRowsPath">
          <controlPr defaultSize="0" autoLine="0" r:id="rId7">
            <anchor moveWithCells="1">
              <from>
                <xdr:col>4</xdr:col>
                <xdr:colOff>285750</xdr:colOff>
                <xdr:row>0</xdr:row>
                <xdr:rowOff>142875</xdr:rowOff>
              </from>
              <to>
                <xdr:col>5</xdr:col>
                <xdr:colOff>266700</xdr:colOff>
                <xdr:row>2</xdr:row>
                <xdr:rowOff>104775</xdr:rowOff>
              </to>
            </anchor>
          </controlPr>
        </control>
      </mc:Choice>
      <mc:Fallback>
        <control shapeId="24578" r:id="rId6" name="btnSelCodeRowsPath"/>
      </mc:Fallback>
    </mc:AlternateContent>
    <mc:AlternateContent xmlns:mc="http://schemas.openxmlformats.org/markup-compatibility/2006">
      <mc:Choice Requires="x14">
        <control shapeId="24579" r:id="rId8" name="btnSelCodeRowsColl">
          <controlPr defaultSize="0" autoLine="0" r:id="rId9">
            <anchor moveWithCells="1">
              <from>
                <xdr:col>4</xdr:col>
                <xdr:colOff>276225</xdr:colOff>
                <xdr:row>2</xdr:row>
                <xdr:rowOff>152400</xdr:rowOff>
              </from>
              <to>
                <xdr:col>5</xdr:col>
                <xdr:colOff>238125</xdr:colOff>
                <xdr:row>4</xdr:row>
                <xdr:rowOff>104775</xdr:rowOff>
              </to>
            </anchor>
          </controlPr>
        </control>
      </mc:Choice>
      <mc:Fallback>
        <control shapeId="24579" r:id="rId8" name="btnSelCodeRowsColl"/>
      </mc:Fallback>
    </mc:AlternateContent>
    <mc:AlternateContent xmlns:mc="http://schemas.openxmlformats.org/markup-compatibility/2006">
      <mc:Choice Requires="x14">
        <control shapeId="24580" r:id="rId10" name="btnClear">
          <controlPr defaultSize="0" autoLine="0" r:id="rId11">
            <anchor moveWithCells="1">
              <from>
                <xdr:col>5</xdr:col>
                <xdr:colOff>523875</xdr:colOff>
                <xdr:row>2</xdr:row>
                <xdr:rowOff>152400</xdr:rowOff>
              </from>
              <to>
                <xdr:col>6</xdr:col>
                <xdr:colOff>485775</xdr:colOff>
                <xdr:row>4</xdr:row>
                <xdr:rowOff>104775</xdr:rowOff>
              </to>
            </anchor>
          </controlPr>
        </control>
      </mc:Choice>
      <mc:Fallback>
        <control shapeId="24580" r:id="rId10" name="btnCle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7"/>
  <sheetViews>
    <sheetView workbookViewId="0">
      <selection sqref="A1:N5"/>
    </sheetView>
  </sheetViews>
  <sheetFormatPr defaultRowHeight="13.5" x14ac:dyDescent="0.15"/>
  <cols>
    <col min="1" max="1" width="5.125" customWidth="1"/>
    <col min="2" max="2" width="9.625" customWidth="1"/>
    <col min="3" max="3" width="22.375" customWidth="1"/>
    <col min="4" max="6" width="10.875" customWidth="1"/>
    <col min="7" max="7" width="10.25" bestFit="1" customWidth="1"/>
    <col min="8" max="11" width="9.75" bestFit="1" customWidth="1"/>
    <col min="12" max="12" width="10.875" customWidth="1"/>
    <col min="13" max="13" width="9.125" bestFit="1" customWidth="1"/>
    <col min="14" max="14" width="9.75" bestFit="1" customWidth="1"/>
  </cols>
  <sheetData>
    <row r="1" spans="1:15" x14ac:dyDescent="0.15">
      <c r="A1" s="75"/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</row>
    <row r="2" spans="1:15" x14ac:dyDescent="0.15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</row>
    <row r="3" spans="1:15" x14ac:dyDescent="0.15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</row>
    <row r="4" spans="1:15" x14ac:dyDescent="0.15">
      <c r="A4" s="76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</row>
    <row r="5" spans="1:15" x14ac:dyDescent="0.15">
      <c r="A5" s="76"/>
      <c r="B5" s="76"/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51" t="s">
        <v>129</v>
      </c>
    </row>
    <row r="6" spans="1:15" x14ac:dyDescent="0.15">
      <c r="A6" s="77" t="s">
        <v>48</v>
      </c>
      <c r="B6" s="77" t="s">
        <v>3</v>
      </c>
      <c r="C6" s="77" t="s">
        <v>4</v>
      </c>
      <c r="D6" s="74" t="s">
        <v>63</v>
      </c>
      <c r="E6" s="74"/>
      <c r="F6" s="74"/>
      <c r="G6" s="74"/>
      <c r="H6" s="74"/>
      <c r="I6" s="74"/>
      <c r="J6" s="74"/>
      <c r="K6" s="74"/>
      <c r="L6" s="74"/>
      <c r="M6" s="74"/>
      <c r="N6" s="74"/>
    </row>
    <row r="7" spans="1:15" s="1" customFormat="1" ht="40.5" x14ac:dyDescent="0.15">
      <c r="A7" s="78"/>
      <c r="B7" s="78"/>
      <c r="C7" s="78"/>
      <c r="D7" s="47" t="s">
        <v>52</v>
      </c>
      <c r="E7" s="47" t="s">
        <v>53</v>
      </c>
      <c r="F7" s="47" t="s">
        <v>54</v>
      </c>
      <c r="G7" s="47" t="s">
        <v>55</v>
      </c>
      <c r="H7" s="47" t="s">
        <v>56</v>
      </c>
      <c r="I7" s="48" t="s">
        <v>57</v>
      </c>
      <c r="J7" s="48" t="s">
        <v>58</v>
      </c>
      <c r="K7" s="48" t="s">
        <v>59</v>
      </c>
      <c r="L7" s="48" t="s">
        <v>60</v>
      </c>
      <c r="M7" s="49" t="s">
        <v>61</v>
      </c>
      <c r="N7" s="49" t="s">
        <v>62</v>
      </c>
    </row>
  </sheetData>
  <mergeCells count="5">
    <mergeCell ref="D6:N6"/>
    <mergeCell ref="A1:N5"/>
    <mergeCell ref="B6:B7"/>
    <mergeCell ref="C6:C7"/>
    <mergeCell ref="A6:A7"/>
  </mergeCells>
  <phoneticPr fontId="1" type="noConversion"/>
  <hyperlinks>
    <hyperlink ref="O5" location="'附1-检查问题记录'!A1" display="查看明细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tnCodeCheckAys">
          <controlPr defaultSize="0" autoLine="0" r:id="rId5">
            <anchor moveWithCells="1">
              <from>
                <xdr:col>6</xdr:col>
                <xdr:colOff>114300</xdr:colOff>
                <xdr:row>2</xdr:row>
                <xdr:rowOff>114300</xdr:rowOff>
              </from>
              <to>
                <xdr:col>7</xdr:col>
                <xdr:colOff>219075</xdr:colOff>
                <xdr:row>4</xdr:row>
                <xdr:rowOff>57150</xdr:rowOff>
              </to>
            </anchor>
          </controlPr>
        </control>
      </mc:Choice>
      <mc:Fallback>
        <control shapeId="1027" r:id="rId4" name="btnCodeCheckAys"/>
      </mc:Fallback>
    </mc:AlternateContent>
    <mc:AlternateContent xmlns:mc="http://schemas.openxmlformats.org/markup-compatibility/2006">
      <mc:Choice Requires="x14">
        <control shapeId="1026" r:id="rId6" name="btnSelCodeCheckPath">
          <controlPr defaultSize="0" autoLine="0" r:id="rId7">
            <anchor moveWithCells="1">
              <from>
                <xdr:col>6</xdr:col>
                <xdr:colOff>133350</xdr:colOff>
                <xdr:row>0</xdr:row>
                <xdr:rowOff>76200</xdr:rowOff>
              </from>
              <to>
                <xdr:col>7</xdr:col>
                <xdr:colOff>180975</xdr:colOff>
                <xdr:row>2</xdr:row>
                <xdr:rowOff>19050</xdr:rowOff>
              </to>
            </anchor>
          </controlPr>
        </control>
      </mc:Choice>
      <mc:Fallback>
        <control shapeId="1026" r:id="rId6" name="btnSelCodeCheckPath"/>
      </mc:Fallback>
    </mc:AlternateContent>
    <mc:AlternateContent xmlns:mc="http://schemas.openxmlformats.org/markup-compatibility/2006">
      <mc:Choice Requires="x14">
        <control shapeId="1025" r:id="rId8" name="txtCodeCheckPath">
          <controlPr defaultSize="0" autoLine="0" r:id="rId9">
            <anchor moveWithCells="1">
              <from>
                <xdr:col>1</xdr:col>
                <xdr:colOff>0</xdr:colOff>
                <xdr:row>0</xdr:row>
                <xdr:rowOff>95250</xdr:rowOff>
              </from>
              <to>
                <xdr:col>5</xdr:col>
                <xdr:colOff>257175</xdr:colOff>
                <xdr:row>2</xdr:row>
                <xdr:rowOff>47625</xdr:rowOff>
              </to>
            </anchor>
          </controlPr>
        </control>
      </mc:Choice>
      <mc:Fallback>
        <control shapeId="1025" r:id="rId8" name="txtCodeCheckPath"/>
      </mc:Fallback>
    </mc:AlternateContent>
    <mc:AlternateContent xmlns:mc="http://schemas.openxmlformats.org/markup-compatibility/2006">
      <mc:Choice Requires="x14">
        <control shapeId="1028" r:id="rId10" name="btnClear">
          <controlPr defaultSize="0" autoLine="0" r:id="rId11">
            <anchor moveWithCells="1">
              <from>
                <xdr:col>7</xdr:col>
                <xdr:colOff>590550</xdr:colOff>
                <xdr:row>2</xdr:row>
                <xdr:rowOff>104775</xdr:rowOff>
              </from>
              <to>
                <xdr:col>8</xdr:col>
                <xdr:colOff>628650</xdr:colOff>
                <xdr:row>4</xdr:row>
                <xdr:rowOff>57150</xdr:rowOff>
              </to>
            </anchor>
          </controlPr>
        </control>
      </mc:Choice>
      <mc:Fallback>
        <control shapeId="1028" r:id="rId10" name="btnClear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7"/>
  <sheetViews>
    <sheetView workbookViewId="0">
      <selection sqref="A1:N5"/>
    </sheetView>
  </sheetViews>
  <sheetFormatPr defaultRowHeight="13.5" x14ac:dyDescent="0.15"/>
  <cols>
    <col min="1" max="1" width="4.875" customWidth="1"/>
    <col min="2" max="2" width="8" bestFit="1" customWidth="1"/>
    <col min="3" max="3" width="22.375" customWidth="1"/>
    <col min="4" max="6" width="10.875" customWidth="1"/>
    <col min="7" max="7" width="10.25" bestFit="1" customWidth="1"/>
    <col min="8" max="12" width="9.75" bestFit="1" customWidth="1"/>
    <col min="13" max="13" width="9.125" bestFit="1" customWidth="1"/>
    <col min="14" max="14" width="9.75" bestFit="1" customWidth="1"/>
  </cols>
  <sheetData>
    <row r="1" spans="1:15" x14ac:dyDescent="0.15">
      <c r="A1" s="75"/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</row>
    <row r="2" spans="1:15" x14ac:dyDescent="0.15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</row>
    <row r="3" spans="1:15" x14ac:dyDescent="0.15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</row>
    <row r="4" spans="1:15" x14ac:dyDescent="0.15">
      <c r="A4" s="76"/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</row>
    <row r="5" spans="1:15" x14ac:dyDescent="0.15">
      <c r="A5" s="76"/>
      <c r="B5" s="76"/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51" t="s">
        <v>130</v>
      </c>
    </row>
    <row r="6" spans="1:15" x14ac:dyDescent="0.15">
      <c r="A6" s="77" t="s">
        <v>0</v>
      </c>
      <c r="B6" s="77" t="s">
        <v>3</v>
      </c>
      <c r="C6" s="77" t="s">
        <v>4</v>
      </c>
      <c r="D6" s="74" t="s">
        <v>63</v>
      </c>
      <c r="E6" s="74"/>
      <c r="F6" s="74"/>
      <c r="G6" s="74"/>
      <c r="H6" s="74"/>
      <c r="I6" s="74"/>
      <c r="J6" s="74"/>
      <c r="K6" s="74"/>
      <c r="L6" s="74"/>
      <c r="M6" s="74"/>
      <c r="N6" s="74"/>
    </row>
    <row r="7" spans="1:15" s="1" customFormat="1" ht="40.5" x14ac:dyDescent="0.15">
      <c r="A7" s="78"/>
      <c r="B7" s="78"/>
      <c r="C7" s="78"/>
      <c r="D7" s="47" t="s">
        <v>52</v>
      </c>
      <c r="E7" s="47" t="s">
        <v>53</v>
      </c>
      <c r="F7" s="47" t="s">
        <v>54</v>
      </c>
      <c r="G7" s="47" t="s">
        <v>55</v>
      </c>
      <c r="H7" s="47" t="s">
        <v>56</v>
      </c>
      <c r="I7" s="48" t="s">
        <v>57</v>
      </c>
      <c r="J7" s="48" t="s">
        <v>58</v>
      </c>
      <c r="K7" s="48" t="s">
        <v>59</v>
      </c>
      <c r="L7" s="48" t="s">
        <v>60</v>
      </c>
      <c r="M7" s="49" t="s">
        <v>61</v>
      </c>
      <c r="N7" s="49" t="s">
        <v>62</v>
      </c>
    </row>
  </sheetData>
  <mergeCells count="5">
    <mergeCell ref="A1:N5"/>
    <mergeCell ref="A6:A7"/>
    <mergeCell ref="B6:B7"/>
    <mergeCell ref="C6:C7"/>
    <mergeCell ref="D6:N6"/>
  </mergeCells>
  <phoneticPr fontId="1" type="noConversion"/>
  <hyperlinks>
    <hyperlink ref="O5" location="'附2-评审问题记录'!A1" display="查看明细"/>
  </hyperlink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5" r:id="rId3" name="btnCodeCheckAys2">
          <controlPr defaultSize="0" autoLine="0" r:id="rId4">
            <anchor moveWithCells="1">
              <from>
                <xdr:col>6</xdr:col>
                <xdr:colOff>104775</xdr:colOff>
                <xdr:row>3</xdr:row>
                <xdr:rowOff>9525</xdr:rowOff>
              </from>
              <to>
                <xdr:col>7</xdr:col>
                <xdr:colOff>304800</xdr:colOff>
                <xdr:row>4</xdr:row>
                <xdr:rowOff>133350</xdr:rowOff>
              </to>
            </anchor>
          </controlPr>
        </control>
      </mc:Choice>
      <mc:Fallback>
        <control shapeId="33795" r:id="rId3" name="btnCodeCheckAys2"/>
      </mc:Fallback>
    </mc:AlternateContent>
    <mc:AlternateContent xmlns:mc="http://schemas.openxmlformats.org/markup-compatibility/2006">
      <mc:Choice Requires="x14">
        <control shapeId="33794" r:id="rId5" name="btnSelCodeCheckPath2">
          <controlPr defaultSize="0" autoLine="0" r:id="rId6">
            <anchor moveWithCells="1">
              <from>
                <xdr:col>6</xdr:col>
                <xdr:colOff>123825</xdr:colOff>
                <xdr:row>0</xdr:row>
                <xdr:rowOff>161925</xdr:rowOff>
              </from>
              <to>
                <xdr:col>7</xdr:col>
                <xdr:colOff>285750</xdr:colOff>
                <xdr:row>2</xdr:row>
                <xdr:rowOff>142875</xdr:rowOff>
              </to>
            </anchor>
          </controlPr>
        </control>
      </mc:Choice>
      <mc:Fallback>
        <control shapeId="33794" r:id="rId5" name="btnSelCodeCheckPath2"/>
      </mc:Fallback>
    </mc:AlternateContent>
    <mc:AlternateContent xmlns:mc="http://schemas.openxmlformats.org/markup-compatibility/2006">
      <mc:Choice Requires="x14">
        <control shapeId="33793" r:id="rId7" name="txtCodeCheckPath2">
          <controlPr defaultSize="0" autoLine="0" r:id="rId8">
            <anchor moveWithCells="1">
              <from>
                <xdr:col>1</xdr:col>
                <xdr:colOff>209550</xdr:colOff>
                <xdr:row>0</xdr:row>
                <xdr:rowOff>142875</xdr:rowOff>
              </from>
              <to>
                <xdr:col>5</xdr:col>
                <xdr:colOff>600075</xdr:colOff>
                <xdr:row>2</xdr:row>
                <xdr:rowOff>142875</xdr:rowOff>
              </to>
            </anchor>
          </controlPr>
        </control>
      </mc:Choice>
      <mc:Fallback>
        <control shapeId="33793" r:id="rId7" name="txtCodeCheckPath2"/>
      </mc:Fallback>
    </mc:AlternateContent>
    <mc:AlternateContent xmlns:mc="http://schemas.openxmlformats.org/markup-compatibility/2006">
      <mc:Choice Requires="x14">
        <control shapeId="33796" r:id="rId9" name="btnClear">
          <controlPr defaultSize="0" autoLine="0" r:id="rId10">
            <anchor moveWithCells="1">
              <from>
                <xdr:col>7</xdr:col>
                <xdr:colOff>685800</xdr:colOff>
                <xdr:row>2</xdr:row>
                <xdr:rowOff>152400</xdr:rowOff>
              </from>
              <to>
                <xdr:col>8</xdr:col>
                <xdr:colOff>723900</xdr:colOff>
                <xdr:row>4</xdr:row>
                <xdr:rowOff>104775</xdr:rowOff>
              </to>
            </anchor>
          </controlPr>
        </control>
      </mc:Choice>
      <mc:Fallback>
        <control shapeId="33796" r:id="rId9" name="btnClea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N6"/>
  <sheetViews>
    <sheetView workbookViewId="0">
      <selection sqref="A1:G5"/>
    </sheetView>
  </sheetViews>
  <sheetFormatPr defaultRowHeight="13.5" x14ac:dyDescent="0.15"/>
  <cols>
    <col min="1" max="1" width="6" bestFit="1" customWidth="1"/>
    <col min="2" max="2" width="11.625" customWidth="1"/>
    <col min="3" max="3" width="22" customWidth="1"/>
    <col min="4" max="5" width="10.25" bestFit="1" customWidth="1"/>
    <col min="6" max="6" width="12.625" bestFit="1" customWidth="1"/>
    <col min="7" max="7" width="15" bestFit="1" customWidth="1"/>
  </cols>
  <sheetData>
    <row r="1" spans="1:14" x14ac:dyDescent="0.15">
      <c r="A1" s="64"/>
      <c r="B1" s="64"/>
      <c r="C1" s="64"/>
      <c r="D1" s="64"/>
      <c r="E1" s="64"/>
      <c r="F1" s="64"/>
      <c r="G1" s="64"/>
      <c r="H1" s="34"/>
      <c r="I1" s="34"/>
      <c r="J1" s="34"/>
      <c r="K1" s="34"/>
      <c r="L1" s="34"/>
      <c r="M1" s="34"/>
      <c r="N1" s="2"/>
    </row>
    <row r="2" spans="1:14" x14ac:dyDescent="0.15">
      <c r="A2" s="64"/>
      <c r="B2" s="64"/>
      <c r="C2" s="64"/>
      <c r="D2" s="64"/>
      <c r="E2" s="64"/>
      <c r="F2" s="64"/>
      <c r="G2" s="64"/>
      <c r="H2" s="34"/>
      <c r="I2" s="34"/>
      <c r="J2" s="34"/>
      <c r="K2" s="34"/>
      <c r="L2" s="34"/>
      <c r="M2" s="34"/>
      <c r="N2" s="2"/>
    </row>
    <row r="3" spans="1:14" x14ac:dyDescent="0.15">
      <c r="A3" s="64"/>
      <c r="B3" s="64"/>
      <c r="C3" s="64"/>
      <c r="D3" s="64"/>
      <c r="E3" s="64"/>
      <c r="F3" s="64"/>
      <c r="G3" s="64"/>
      <c r="H3" s="34"/>
      <c r="I3" s="34"/>
      <c r="J3" s="34"/>
      <c r="K3" s="34"/>
      <c r="L3" s="34"/>
      <c r="M3" s="34"/>
      <c r="N3" s="2"/>
    </row>
    <row r="4" spans="1:14" x14ac:dyDescent="0.15">
      <c r="A4" s="64"/>
      <c r="B4" s="64"/>
      <c r="C4" s="64"/>
      <c r="D4" s="64"/>
      <c r="E4" s="64"/>
      <c r="F4" s="64"/>
      <c r="G4" s="64"/>
      <c r="H4" s="34"/>
      <c r="I4" s="34"/>
      <c r="J4" s="34"/>
      <c r="K4" s="34"/>
      <c r="L4" s="34"/>
      <c r="M4" s="34"/>
      <c r="N4" s="2"/>
    </row>
    <row r="5" spans="1:14" x14ac:dyDescent="0.15">
      <c r="A5" s="64"/>
      <c r="B5" s="64"/>
      <c r="C5" s="64"/>
      <c r="D5" s="64"/>
      <c r="E5" s="64"/>
      <c r="F5" s="64"/>
      <c r="G5" s="64"/>
      <c r="H5" s="34"/>
      <c r="I5" s="34"/>
      <c r="J5" s="34"/>
      <c r="K5" s="34"/>
      <c r="L5" s="34"/>
      <c r="M5" s="34"/>
      <c r="N5" s="2"/>
    </row>
    <row r="6" spans="1:14" ht="18.75" customHeight="1" x14ac:dyDescent="0.15">
      <c r="A6" s="31" t="s">
        <v>47</v>
      </c>
      <c r="B6" s="31" t="s">
        <v>3</v>
      </c>
      <c r="C6" s="31" t="s">
        <v>4</v>
      </c>
      <c r="D6" s="32" t="s">
        <v>64</v>
      </c>
      <c r="E6" s="32" t="s">
        <v>65</v>
      </c>
      <c r="F6" s="32" t="s">
        <v>66</v>
      </c>
      <c r="G6" s="32" t="s">
        <v>67</v>
      </c>
    </row>
  </sheetData>
  <mergeCells count="1">
    <mergeCell ref="A1:G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8" r:id="rId4" name="btnCaseCollect">
          <controlPr defaultSize="0" autoLine="0" r:id="rId5">
            <anchor moveWithCells="1">
              <from>
                <xdr:col>5</xdr:col>
                <xdr:colOff>342900</xdr:colOff>
                <xdr:row>3</xdr:row>
                <xdr:rowOff>0</xdr:rowOff>
              </from>
              <to>
                <xdr:col>6</xdr:col>
                <xdr:colOff>85725</xdr:colOff>
                <xdr:row>4</xdr:row>
                <xdr:rowOff>114300</xdr:rowOff>
              </to>
            </anchor>
          </controlPr>
        </control>
      </mc:Choice>
      <mc:Fallback>
        <control shapeId="11268" r:id="rId4" name="btnCaseCollect"/>
      </mc:Fallback>
    </mc:AlternateContent>
    <mc:AlternateContent xmlns:mc="http://schemas.openxmlformats.org/markup-compatibility/2006">
      <mc:Choice Requires="x14">
        <control shapeId="11267" r:id="rId6" name="btnSelCasePath">
          <controlPr defaultSize="0" autoLine="0" r:id="rId7">
            <anchor moveWithCells="1">
              <from>
                <xdr:col>5</xdr:col>
                <xdr:colOff>352425</xdr:colOff>
                <xdr:row>0</xdr:row>
                <xdr:rowOff>142875</xdr:rowOff>
              </from>
              <to>
                <xdr:col>6</xdr:col>
                <xdr:colOff>76200</xdr:colOff>
                <xdr:row>2</xdr:row>
                <xdr:rowOff>85725</xdr:rowOff>
              </to>
            </anchor>
          </controlPr>
        </control>
      </mc:Choice>
      <mc:Fallback>
        <control shapeId="11267" r:id="rId6" name="btnSelCasePath"/>
      </mc:Fallback>
    </mc:AlternateContent>
    <mc:AlternateContent xmlns:mc="http://schemas.openxmlformats.org/markup-compatibility/2006">
      <mc:Choice Requires="x14">
        <control shapeId="11266" r:id="rId8" name="txtCasePath">
          <controlPr defaultSize="0" autoLine="0" r:id="rId9">
            <anchor moveWithCells="1">
              <from>
                <xdr:col>0</xdr:col>
                <xdr:colOff>438150</xdr:colOff>
                <xdr:row>0</xdr:row>
                <xdr:rowOff>142875</xdr:rowOff>
              </from>
              <to>
                <xdr:col>5</xdr:col>
                <xdr:colOff>47625</xdr:colOff>
                <xdr:row>2</xdr:row>
                <xdr:rowOff>104775</xdr:rowOff>
              </to>
            </anchor>
          </controlPr>
        </control>
      </mc:Choice>
      <mc:Fallback>
        <control shapeId="11266" r:id="rId8" name="txtCasePath"/>
      </mc:Fallback>
    </mc:AlternateContent>
    <mc:AlternateContent xmlns:mc="http://schemas.openxmlformats.org/markup-compatibility/2006">
      <mc:Choice Requires="x14">
        <control shapeId="11269" r:id="rId10" name="btnClear">
          <controlPr defaultSize="0" autoLine="0" r:id="rId11">
            <anchor moveWithCells="1">
              <from>
                <xdr:col>6</xdr:col>
                <xdr:colOff>200025</xdr:colOff>
                <xdr:row>2</xdr:row>
                <xdr:rowOff>161925</xdr:rowOff>
              </from>
              <to>
                <xdr:col>6</xdr:col>
                <xdr:colOff>981075</xdr:colOff>
                <xdr:row>4</xdr:row>
                <xdr:rowOff>114300</xdr:rowOff>
              </to>
            </anchor>
          </controlPr>
        </control>
      </mc:Choice>
      <mc:Fallback>
        <control shapeId="11269" r:id="rId10" name="btnClea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P7"/>
  <sheetViews>
    <sheetView workbookViewId="0">
      <selection sqref="A1:O5"/>
    </sheetView>
  </sheetViews>
  <sheetFormatPr defaultRowHeight="13.5" x14ac:dyDescent="0.15"/>
  <cols>
    <col min="1" max="1" width="6" bestFit="1" customWidth="1"/>
    <col min="2" max="2" width="10.75" customWidth="1"/>
    <col min="3" max="3" width="20.375" customWidth="1"/>
  </cols>
  <sheetData>
    <row r="1" spans="1:16" x14ac:dyDescent="0.15">
      <c r="A1" s="64"/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2"/>
    </row>
    <row r="2" spans="1:16" x14ac:dyDescent="0.15">
      <c r="A2" s="64"/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2"/>
    </row>
    <row r="3" spans="1:16" x14ac:dyDescent="0.15">
      <c r="A3" s="64"/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2"/>
    </row>
    <row r="4" spans="1:16" x14ac:dyDescent="0.15">
      <c r="A4" s="64"/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2"/>
    </row>
    <row r="5" spans="1:16" x14ac:dyDescent="0.15">
      <c r="A5" s="64"/>
      <c r="B5" s="64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53" t="s">
        <v>129</v>
      </c>
    </row>
    <row r="6" spans="1:16" ht="18.75" customHeight="1" x14ac:dyDescent="0.15">
      <c r="A6" s="86" t="s">
        <v>47</v>
      </c>
      <c r="B6" s="86" t="s">
        <v>3</v>
      </c>
      <c r="C6" s="86" t="s">
        <v>4</v>
      </c>
      <c r="D6" s="83" t="s">
        <v>68</v>
      </c>
      <c r="E6" s="84"/>
      <c r="F6" s="85"/>
      <c r="G6" s="83" t="s">
        <v>71</v>
      </c>
      <c r="H6" s="84"/>
      <c r="I6" s="85"/>
      <c r="J6" s="83" t="s">
        <v>72</v>
      </c>
      <c r="K6" s="84"/>
      <c r="L6" s="85"/>
      <c r="M6" s="79" t="s">
        <v>74</v>
      </c>
      <c r="N6" s="81" t="s">
        <v>84</v>
      </c>
      <c r="O6" s="81" t="s">
        <v>85</v>
      </c>
    </row>
    <row r="7" spans="1:16" ht="14.25" x14ac:dyDescent="0.15">
      <c r="A7" s="87"/>
      <c r="B7" s="87"/>
      <c r="C7" s="87"/>
      <c r="D7" s="33" t="s">
        <v>73</v>
      </c>
      <c r="E7" s="33" t="s">
        <v>69</v>
      </c>
      <c r="F7" s="33" t="s">
        <v>70</v>
      </c>
      <c r="G7" s="33" t="s">
        <v>73</v>
      </c>
      <c r="H7" s="33" t="s">
        <v>69</v>
      </c>
      <c r="I7" s="33" t="s">
        <v>70</v>
      </c>
      <c r="J7" s="33" t="s">
        <v>73</v>
      </c>
      <c r="K7" s="33" t="s">
        <v>69</v>
      </c>
      <c r="L7" s="33" t="s">
        <v>70</v>
      </c>
      <c r="M7" s="80"/>
      <c r="N7" s="82"/>
      <c r="O7" s="82"/>
    </row>
  </sheetData>
  <mergeCells count="10">
    <mergeCell ref="M6:M7"/>
    <mergeCell ref="N6:N7"/>
    <mergeCell ref="A1:O5"/>
    <mergeCell ref="D6:F6"/>
    <mergeCell ref="G6:I6"/>
    <mergeCell ref="A6:A7"/>
    <mergeCell ref="B6:B7"/>
    <mergeCell ref="C6:C7"/>
    <mergeCell ref="J6:L6"/>
    <mergeCell ref="O6:O7"/>
  </mergeCells>
  <phoneticPr fontId="1" type="noConversion"/>
  <hyperlinks>
    <hyperlink ref="P5" location="'附3-bug清单'!A1" display="查看明细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1" r:id="rId4" name="btnBugCollect">
          <controlPr defaultSize="0" autoLine="0" r:id="rId5">
            <anchor moveWithCells="1">
              <from>
                <xdr:col>7</xdr:col>
                <xdr:colOff>161925</xdr:colOff>
                <xdr:row>1</xdr:row>
                <xdr:rowOff>66675</xdr:rowOff>
              </from>
              <to>
                <xdr:col>8</xdr:col>
                <xdr:colOff>133350</xdr:colOff>
                <xdr:row>3</xdr:row>
                <xdr:rowOff>9525</xdr:rowOff>
              </to>
            </anchor>
          </controlPr>
        </control>
      </mc:Choice>
      <mc:Fallback>
        <control shapeId="12291" r:id="rId4" name="btnBugCollect"/>
      </mc:Fallback>
    </mc:AlternateContent>
    <mc:AlternateContent xmlns:mc="http://schemas.openxmlformats.org/markup-compatibility/2006">
      <mc:Choice Requires="x14">
        <control shapeId="12290" r:id="rId6" name="btnSelBugPath">
          <controlPr defaultSize="0" autoLine="0" r:id="rId7">
            <anchor moveWithCells="1">
              <from>
                <xdr:col>6</xdr:col>
                <xdr:colOff>66675</xdr:colOff>
                <xdr:row>1</xdr:row>
                <xdr:rowOff>76200</xdr:rowOff>
              </from>
              <to>
                <xdr:col>7</xdr:col>
                <xdr:colOff>66675</xdr:colOff>
                <xdr:row>3</xdr:row>
                <xdr:rowOff>19050</xdr:rowOff>
              </to>
            </anchor>
          </controlPr>
        </control>
      </mc:Choice>
      <mc:Fallback>
        <control shapeId="12290" r:id="rId6" name="btnSelBugPath"/>
      </mc:Fallback>
    </mc:AlternateContent>
    <mc:AlternateContent xmlns:mc="http://schemas.openxmlformats.org/markup-compatibility/2006">
      <mc:Choice Requires="x14">
        <control shapeId="12289" r:id="rId8" name="txtBugPath">
          <controlPr defaultSize="0" autoLine="0" r:id="rId9">
            <anchor moveWithCells="1">
              <from>
                <xdr:col>1</xdr:col>
                <xdr:colOff>0</xdr:colOff>
                <xdr:row>1</xdr:row>
                <xdr:rowOff>76200</xdr:rowOff>
              </from>
              <to>
                <xdr:col>5</xdr:col>
                <xdr:colOff>447675</xdr:colOff>
                <xdr:row>3</xdr:row>
                <xdr:rowOff>38100</xdr:rowOff>
              </to>
            </anchor>
          </controlPr>
        </control>
      </mc:Choice>
      <mc:Fallback>
        <control shapeId="12289" r:id="rId8" name="txtBugPath"/>
      </mc:Fallback>
    </mc:AlternateContent>
    <mc:AlternateContent xmlns:mc="http://schemas.openxmlformats.org/markup-compatibility/2006">
      <mc:Choice Requires="x14">
        <control shapeId="12292" r:id="rId10" name="btnClear">
          <controlPr defaultSize="0" autoLine="0" r:id="rId11">
            <anchor moveWithCells="1">
              <from>
                <xdr:col>10</xdr:col>
                <xdr:colOff>304800</xdr:colOff>
                <xdr:row>2</xdr:row>
                <xdr:rowOff>123825</xdr:rowOff>
              </from>
              <to>
                <xdr:col>11</xdr:col>
                <xdr:colOff>400050</xdr:colOff>
                <xdr:row>4</xdr:row>
                <xdr:rowOff>76200</xdr:rowOff>
              </to>
            </anchor>
          </controlPr>
        </control>
      </mc:Choice>
      <mc:Fallback>
        <control shapeId="12292" r:id="rId10" name="btnClear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Q38"/>
  <sheetViews>
    <sheetView workbookViewId="0">
      <selection sqref="A1:Q5"/>
    </sheetView>
  </sheetViews>
  <sheetFormatPr defaultRowHeight="13.5" x14ac:dyDescent="0.15"/>
  <cols>
    <col min="1" max="1" width="3.75" customWidth="1"/>
    <col min="2" max="2" width="12.375" customWidth="1"/>
    <col min="3" max="3" width="18.25" customWidth="1"/>
    <col min="4" max="4" width="9.25" customWidth="1"/>
    <col min="5" max="5" width="8.625" customWidth="1"/>
  </cols>
  <sheetData>
    <row r="1" spans="1:17" ht="13.5" customHeight="1" x14ac:dyDescent="0.15">
      <c r="A1" s="68" t="s">
        <v>91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</row>
    <row r="2" spans="1:17" ht="13.5" customHeight="1" x14ac:dyDescent="0.15">
      <c r="A2" s="68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3.5" customHeight="1" x14ac:dyDescent="0.15">
      <c r="A3" s="68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</row>
    <row r="4" spans="1:17" ht="13.5" customHeight="1" x14ac:dyDescent="0.15">
      <c r="A4" s="68"/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</row>
    <row r="5" spans="1:17" ht="14.25" customHeight="1" thickBot="1" x14ac:dyDescent="0.2">
      <c r="A5" s="68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</row>
    <row r="6" spans="1:17" x14ac:dyDescent="0.15">
      <c r="A6" s="90" t="s">
        <v>49</v>
      </c>
      <c r="B6" s="92" t="s">
        <v>50</v>
      </c>
      <c r="C6" s="94" t="s">
        <v>51</v>
      </c>
      <c r="D6" s="96" t="s">
        <v>83</v>
      </c>
      <c r="E6" s="96"/>
      <c r="F6" s="96"/>
      <c r="G6" s="96"/>
      <c r="H6" s="97"/>
      <c r="I6" s="98" t="s">
        <v>75</v>
      </c>
      <c r="J6" s="98"/>
      <c r="K6" s="98"/>
      <c r="L6" s="89" t="s">
        <v>117</v>
      </c>
      <c r="M6" s="89"/>
      <c r="N6" s="89"/>
      <c r="O6" s="89"/>
      <c r="P6" s="89"/>
      <c r="Q6" s="89"/>
    </row>
    <row r="7" spans="1:17" x14ac:dyDescent="0.15">
      <c r="A7" s="91"/>
      <c r="B7" s="93"/>
      <c r="C7" s="95"/>
      <c r="D7" s="99" t="s">
        <v>86</v>
      </c>
      <c r="E7" s="99"/>
      <c r="F7" s="99"/>
      <c r="G7" s="99" t="s">
        <v>76</v>
      </c>
      <c r="H7" s="100"/>
      <c r="I7" s="39" t="s">
        <v>77</v>
      </c>
      <c r="J7" s="101" t="s">
        <v>76</v>
      </c>
      <c r="K7" s="102"/>
      <c r="L7" s="89"/>
      <c r="M7" s="89"/>
      <c r="N7" s="89"/>
      <c r="O7" s="89"/>
      <c r="P7" s="89"/>
      <c r="Q7" s="89"/>
    </row>
    <row r="8" spans="1:17" ht="33.75" customHeight="1" x14ac:dyDescent="0.15">
      <c r="A8" s="91"/>
      <c r="B8" s="93"/>
      <c r="C8" s="95"/>
      <c r="D8" s="40" t="s">
        <v>115</v>
      </c>
      <c r="E8" s="40" t="s">
        <v>78</v>
      </c>
      <c r="F8" s="40" t="s">
        <v>79</v>
      </c>
      <c r="G8" s="41" t="s">
        <v>80</v>
      </c>
      <c r="H8" s="42" t="s">
        <v>81</v>
      </c>
      <c r="I8" s="43" t="s">
        <v>82</v>
      </c>
      <c r="J8" s="44" t="s">
        <v>80</v>
      </c>
      <c r="K8" s="45" t="s">
        <v>81</v>
      </c>
      <c r="L8" s="46" t="s">
        <v>148</v>
      </c>
      <c r="M8" s="46" t="s">
        <v>149</v>
      </c>
      <c r="N8" s="46" t="s">
        <v>150</v>
      </c>
      <c r="O8" s="46" t="s">
        <v>151</v>
      </c>
      <c r="P8" s="46" t="s">
        <v>152</v>
      </c>
      <c r="Q8" s="46" t="s">
        <v>116</v>
      </c>
    </row>
    <row r="9" spans="1:17" x14ac:dyDescent="0.15">
      <c r="A9" s="57">
        <v>1</v>
      </c>
      <c r="B9" s="57" t="s">
        <v>163</v>
      </c>
      <c r="C9" s="57" t="s">
        <v>164</v>
      </c>
      <c r="D9" s="59">
        <v>22.299999237060547</v>
      </c>
      <c r="E9" s="59">
        <v>0</v>
      </c>
      <c r="F9" s="59">
        <v>0</v>
      </c>
      <c r="G9" s="57">
        <v>1</v>
      </c>
      <c r="H9" s="57">
        <v>2</v>
      </c>
      <c r="I9" s="57">
        <v>31</v>
      </c>
      <c r="J9" s="57">
        <v>3</v>
      </c>
      <c r="K9" s="57">
        <v>3</v>
      </c>
      <c r="L9" s="59">
        <v>0</v>
      </c>
      <c r="M9" s="62">
        <v>0</v>
      </c>
      <c r="N9" s="59">
        <v>0</v>
      </c>
      <c r="O9" s="59">
        <v>0</v>
      </c>
      <c r="P9" s="59">
        <v>0</v>
      </c>
      <c r="Q9" s="59">
        <v>0</v>
      </c>
    </row>
    <row r="10" spans="1:17" x14ac:dyDescent="0.15">
      <c r="A10" s="57">
        <v>2</v>
      </c>
      <c r="B10" s="57" t="s">
        <v>165</v>
      </c>
      <c r="C10" s="57" t="s">
        <v>166</v>
      </c>
      <c r="D10" s="59">
        <v>13.5</v>
      </c>
      <c r="E10" s="59">
        <v>0</v>
      </c>
      <c r="F10" s="59">
        <v>0</v>
      </c>
      <c r="G10" s="57">
        <v>0</v>
      </c>
      <c r="H10" s="57">
        <v>1</v>
      </c>
      <c r="I10" s="57">
        <v>6</v>
      </c>
      <c r="J10" s="57">
        <v>2</v>
      </c>
      <c r="K10" s="57">
        <v>2</v>
      </c>
      <c r="L10" s="59">
        <v>0</v>
      </c>
      <c r="M10" s="62">
        <v>0</v>
      </c>
      <c r="N10" s="59">
        <v>0</v>
      </c>
      <c r="O10" s="59">
        <v>0</v>
      </c>
      <c r="P10" s="59">
        <v>0</v>
      </c>
      <c r="Q10" s="59">
        <v>0</v>
      </c>
    </row>
    <row r="11" spans="1:17" x14ac:dyDescent="0.15">
      <c r="A11" s="57">
        <v>3</v>
      </c>
      <c r="B11" s="57" t="s">
        <v>167</v>
      </c>
      <c r="C11" s="57" t="s">
        <v>168</v>
      </c>
      <c r="D11" s="59">
        <v>15</v>
      </c>
      <c r="E11" s="59">
        <v>0</v>
      </c>
      <c r="F11" s="59">
        <v>0</v>
      </c>
      <c r="G11" s="57">
        <v>4</v>
      </c>
      <c r="H11" s="57">
        <v>5</v>
      </c>
      <c r="I11" s="57">
        <v>7</v>
      </c>
      <c r="J11" s="57">
        <v>1</v>
      </c>
      <c r="K11" s="57">
        <v>1</v>
      </c>
      <c r="L11" s="59">
        <v>0</v>
      </c>
      <c r="M11" s="62">
        <v>0</v>
      </c>
      <c r="N11" s="59">
        <v>0</v>
      </c>
      <c r="O11" s="59">
        <v>0</v>
      </c>
      <c r="P11" s="59">
        <v>0</v>
      </c>
      <c r="Q11" s="59">
        <v>0</v>
      </c>
    </row>
    <row r="12" spans="1:17" x14ac:dyDescent="0.15">
      <c r="A12" s="57">
        <v>4</v>
      </c>
      <c r="B12" s="57" t="s">
        <v>169</v>
      </c>
      <c r="C12" s="57" t="s">
        <v>170</v>
      </c>
      <c r="D12" s="59">
        <v>11</v>
      </c>
      <c r="E12" s="59">
        <v>6.7000001668930054E-2</v>
      </c>
      <c r="F12" s="59">
        <v>0.12099999934434891</v>
      </c>
      <c r="G12" s="57">
        <v>1</v>
      </c>
      <c r="H12" s="57">
        <v>1</v>
      </c>
      <c r="I12" s="57">
        <v>18</v>
      </c>
      <c r="J12" s="57">
        <v>2</v>
      </c>
      <c r="K12" s="57">
        <v>2</v>
      </c>
      <c r="L12" s="59">
        <v>1.815000057220459</v>
      </c>
      <c r="M12" s="62">
        <v>0.35638299584388733</v>
      </c>
      <c r="N12" s="59">
        <v>5.3191490173339844</v>
      </c>
      <c r="O12" s="59">
        <v>5.3191490173339844</v>
      </c>
      <c r="P12" s="59">
        <v>148.76033020019531</v>
      </c>
      <c r="Q12" s="59">
        <v>16.528924942016602</v>
      </c>
    </row>
    <row r="13" spans="1:17" x14ac:dyDescent="0.15">
      <c r="A13" s="57">
        <v>5</v>
      </c>
      <c r="B13" s="57" t="s">
        <v>171</v>
      </c>
      <c r="C13" s="57" t="s">
        <v>172</v>
      </c>
      <c r="D13" s="59">
        <v>15</v>
      </c>
      <c r="E13" s="59">
        <v>6.8999998271465302E-2</v>
      </c>
      <c r="F13" s="59">
        <v>0.10999999940395355</v>
      </c>
      <c r="G13" s="57">
        <v>1</v>
      </c>
      <c r="H13" s="57">
        <v>2</v>
      </c>
      <c r="I13" s="57">
        <v>9</v>
      </c>
      <c r="J13" s="57">
        <v>0</v>
      </c>
      <c r="K13" s="57">
        <v>0</v>
      </c>
      <c r="L13" s="59">
        <v>1.2099999189376831</v>
      </c>
      <c r="M13" s="62">
        <v>0.38547486066818237</v>
      </c>
      <c r="N13" s="59">
        <v>5.5865926742553711</v>
      </c>
      <c r="O13" s="59">
        <v>11.173185348510742</v>
      </c>
      <c r="P13" s="59">
        <v>81.818183898925781</v>
      </c>
      <c r="Q13" s="59">
        <v>0</v>
      </c>
    </row>
    <row r="14" spans="1:17" x14ac:dyDescent="0.15">
      <c r="A14" s="57">
        <v>6</v>
      </c>
      <c r="B14" s="57" t="s">
        <v>173</v>
      </c>
      <c r="C14" s="57" t="s">
        <v>174</v>
      </c>
      <c r="D14" s="59">
        <v>5</v>
      </c>
      <c r="E14" s="59">
        <v>2.9999999329447746E-2</v>
      </c>
      <c r="F14" s="59">
        <v>5.7999998331069946E-2</v>
      </c>
      <c r="G14" s="57">
        <v>1</v>
      </c>
      <c r="H14" s="57">
        <v>1</v>
      </c>
      <c r="I14" s="57">
        <v>3</v>
      </c>
      <c r="J14" s="57">
        <v>0</v>
      </c>
      <c r="K14" s="57">
        <v>0</v>
      </c>
      <c r="L14" s="59">
        <v>1.9139999151229858</v>
      </c>
      <c r="M14" s="62">
        <v>0.34090909361839294</v>
      </c>
      <c r="N14" s="59">
        <v>11.363636016845703</v>
      </c>
      <c r="O14" s="59">
        <v>11.363636016845703</v>
      </c>
      <c r="P14" s="59">
        <v>51.724140167236328</v>
      </c>
      <c r="Q14" s="59">
        <v>0</v>
      </c>
    </row>
    <row r="15" spans="1:17" x14ac:dyDescent="0.15">
      <c r="A15" s="57">
        <v>7</v>
      </c>
      <c r="B15" s="57" t="s">
        <v>175</v>
      </c>
      <c r="C15" s="57" t="s">
        <v>176</v>
      </c>
      <c r="D15" s="59">
        <v>7</v>
      </c>
      <c r="E15" s="59">
        <v>0</v>
      </c>
      <c r="F15" s="59">
        <v>0</v>
      </c>
      <c r="G15" s="57">
        <v>0</v>
      </c>
      <c r="H15" s="57">
        <v>1</v>
      </c>
      <c r="I15" s="57">
        <v>8</v>
      </c>
      <c r="J15" s="57">
        <v>0</v>
      </c>
      <c r="K15" s="57">
        <v>0</v>
      </c>
      <c r="L15" s="59">
        <v>0</v>
      </c>
      <c r="M15" s="62">
        <v>0</v>
      </c>
      <c r="N15" s="59">
        <v>0</v>
      </c>
      <c r="O15" s="59">
        <v>0</v>
      </c>
      <c r="P15" s="59">
        <v>0</v>
      </c>
      <c r="Q15" s="59">
        <v>0</v>
      </c>
    </row>
    <row r="16" spans="1:17" x14ac:dyDescent="0.15">
      <c r="A16" s="57">
        <v>8</v>
      </c>
      <c r="B16" s="57" t="s">
        <v>177</v>
      </c>
      <c r="C16" s="57" t="s">
        <v>178</v>
      </c>
      <c r="D16" s="59">
        <v>3</v>
      </c>
      <c r="E16" s="59">
        <v>4.8000000417232513E-2</v>
      </c>
      <c r="F16" s="59">
        <v>6.1999998986721039E-2</v>
      </c>
      <c r="G16" s="57">
        <v>0</v>
      </c>
      <c r="H16" s="57">
        <v>1</v>
      </c>
      <c r="I16" s="57">
        <v>2</v>
      </c>
      <c r="J16" s="57">
        <v>0</v>
      </c>
      <c r="K16" s="57">
        <v>0</v>
      </c>
      <c r="L16" s="59">
        <v>3.4099998474121094</v>
      </c>
      <c r="M16" s="62">
        <v>0.43636363744735718</v>
      </c>
      <c r="N16" s="59">
        <v>0</v>
      </c>
      <c r="O16" s="59">
        <v>9.0909090042114258</v>
      </c>
      <c r="P16" s="59">
        <v>32.258064270019531</v>
      </c>
      <c r="Q16" s="59">
        <v>0</v>
      </c>
    </row>
    <row r="17" spans="1:17" x14ac:dyDescent="0.15">
      <c r="A17" s="57">
        <v>9</v>
      </c>
      <c r="B17" s="57" t="s">
        <v>179</v>
      </c>
      <c r="C17" s="57" t="s">
        <v>180</v>
      </c>
      <c r="D17" s="59">
        <v>0</v>
      </c>
      <c r="E17" s="59">
        <v>0</v>
      </c>
      <c r="F17" s="59">
        <v>0</v>
      </c>
      <c r="G17" s="57">
        <v>0</v>
      </c>
      <c r="H17" s="57">
        <v>0</v>
      </c>
      <c r="I17" s="57">
        <v>0</v>
      </c>
      <c r="J17" s="57">
        <v>0</v>
      </c>
      <c r="K17" s="57">
        <v>0</v>
      </c>
      <c r="L17" s="59">
        <v>0</v>
      </c>
      <c r="M17" s="62">
        <v>0</v>
      </c>
      <c r="N17" s="59">
        <v>0</v>
      </c>
      <c r="O17" s="59">
        <v>0</v>
      </c>
      <c r="P17" s="59">
        <v>0</v>
      </c>
      <c r="Q17" s="59">
        <v>0</v>
      </c>
    </row>
    <row r="18" spans="1:17" x14ac:dyDescent="0.15">
      <c r="A18" s="57">
        <v>10</v>
      </c>
      <c r="B18" s="57" t="s">
        <v>181</v>
      </c>
      <c r="C18" s="57" t="s">
        <v>182</v>
      </c>
      <c r="D18" s="59">
        <v>0</v>
      </c>
      <c r="E18" s="59">
        <v>0</v>
      </c>
      <c r="F18" s="59">
        <v>0</v>
      </c>
      <c r="G18" s="57">
        <v>0</v>
      </c>
      <c r="H18" s="57">
        <v>0</v>
      </c>
      <c r="I18" s="57">
        <v>0</v>
      </c>
      <c r="J18" s="57">
        <v>0</v>
      </c>
      <c r="K18" s="57">
        <v>0</v>
      </c>
      <c r="L18" s="59">
        <v>0</v>
      </c>
      <c r="M18" s="62">
        <v>0</v>
      </c>
      <c r="N18" s="59">
        <v>0</v>
      </c>
      <c r="O18" s="59">
        <v>0</v>
      </c>
      <c r="P18" s="59">
        <v>0</v>
      </c>
      <c r="Q18" s="59">
        <v>0</v>
      </c>
    </row>
    <row r="19" spans="1:17" x14ac:dyDescent="0.15">
      <c r="A19" s="57">
        <v>11</v>
      </c>
      <c r="B19" s="57" t="s">
        <v>183</v>
      </c>
      <c r="C19" s="57" t="s">
        <v>184</v>
      </c>
      <c r="D19" s="59">
        <v>14.5</v>
      </c>
      <c r="E19" s="59">
        <v>2.4000000208616257E-2</v>
      </c>
      <c r="F19" s="59">
        <v>3.2999999821186066E-2</v>
      </c>
      <c r="G19" s="57">
        <v>1</v>
      </c>
      <c r="H19" s="57">
        <v>3</v>
      </c>
      <c r="I19" s="57">
        <v>4</v>
      </c>
      <c r="J19" s="57">
        <v>0</v>
      </c>
      <c r="K19" s="57">
        <v>0</v>
      </c>
      <c r="L19" s="59">
        <v>0.37551724910736084</v>
      </c>
      <c r="M19" s="62">
        <v>0.42105263471603394</v>
      </c>
      <c r="N19" s="59">
        <v>17.543859481811523</v>
      </c>
      <c r="O19" s="59">
        <v>52.631580352783203</v>
      </c>
      <c r="P19" s="59">
        <v>121.21212005615234</v>
      </c>
      <c r="Q19" s="59">
        <v>0</v>
      </c>
    </row>
    <row r="20" spans="1:17" x14ac:dyDescent="0.15">
      <c r="A20" s="57">
        <v>12</v>
      </c>
      <c r="B20" s="57" t="s">
        <v>185</v>
      </c>
      <c r="C20" s="57" t="s">
        <v>186</v>
      </c>
      <c r="D20" s="59">
        <v>4.5</v>
      </c>
      <c r="E20" s="59">
        <v>3.4000001847743988E-2</v>
      </c>
      <c r="F20" s="59">
        <v>7.1000002324581146E-2</v>
      </c>
      <c r="G20" s="57">
        <v>1</v>
      </c>
      <c r="H20" s="57">
        <v>1</v>
      </c>
      <c r="I20" s="57">
        <v>6</v>
      </c>
      <c r="J20" s="57">
        <v>0</v>
      </c>
      <c r="K20" s="57">
        <v>0</v>
      </c>
      <c r="L20" s="59">
        <v>2.6033334732055664</v>
      </c>
      <c r="M20" s="62">
        <v>0.32380953431129456</v>
      </c>
      <c r="N20" s="59">
        <v>9.5238094329833984</v>
      </c>
      <c r="O20" s="59">
        <v>9.5238094329833984</v>
      </c>
      <c r="P20" s="59">
        <v>84.507041931152344</v>
      </c>
      <c r="Q20" s="59">
        <v>0</v>
      </c>
    </row>
    <row r="21" spans="1:17" x14ac:dyDescent="0.15">
      <c r="A21" s="57">
        <v>13</v>
      </c>
      <c r="B21" s="57" t="s">
        <v>187</v>
      </c>
      <c r="C21" s="57" t="s">
        <v>188</v>
      </c>
      <c r="D21" s="59">
        <v>18.399999618530273</v>
      </c>
      <c r="E21" s="59">
        <v>0.14399999380111694</v>
      </c>
      <c r="F21" s="59">
        <v>0.5429999828338623</v>
      </c>
      <c r="G21" s="57">
        <v>4</v>
      </c>
      <c r="H21" s="57">
        <v>6</v>
      </c>
      <c r="I21" s="57">
        <v>10</v>
      </c>
      <c r="J21" s="57">
        <v>0</v>
      </c>
      <c r="K21" s="57">
        <v>0</v>
      </c>
      <c r="L21" s="59">
        <v>4.869293212890625</v>
      </c>
      <c r="M21" s="62">
        <v>0.20960699021816254</v>
      </c>
      <c r="N21" s="59">
        <v>5.8224163055419922</v>
      </c>
      <c r="O21" s="59">
        <v>8.7336244583129883</v>
      </c>
      <c r="P21" s="59">
        <v>18.416206359863281</v>
      </c>
      <c r="Q21" s="59">
        <v>0</v>
      </c>
    </row>
    <row r="22" spans="1:17" x14ac:dyDescent="0.15">
      <c r="A22" s="57">
        <v>14</v>
      </c>
      <c r="B22" s="57" t="s">
        <v>189</v>
      </c>
      <c r="C22" s="57" t="s">
        <v>190</v>
      </c>
      <c r="D22" s="59">
        <v>13.300000190734863</v>
      </c>
      <c r="E22" s="59">
        <v>0.15299999713897705</v>
      </c>
      <c r="F22" s="59">
        <v>1.1440000534057617</v>
      </c>
      <c r="G22" s="57">
        <v>1</v>
      </c>
      <c r="H22" s="57">
        <v>2</v>
      </c>
      <c r="I22" s="57">
        <v>2</v>
      </c>
      <c r="J22" s="57">
        <v>1</v>
      </c>
      <c r="K22" s="57">
        <v>1</v>
      </c>
      <c r="L22" s="59">
        <v>14.192481994628906</v>
      </c>
      <c r="M22" s="62">
        <v>0.11796452850103378</v>
      </c>
      <c r="N22" s="59">
        <v>0.77100998163223267</v>
      </c>
      <c r="O22" s="59">
        <v>1.5420199632644653</v>
      </c>
      <c r="P22" s="59">
        <v>1.7482516765594482</v>
      </c>
      <c r="Q22" s="59">
        <v>0.87412583827972412</v>
      </c>
    </row>
    <row r="23" spans="1:17" x14ac:dyDescent="0.15">
      <c r="A23" s="57">
        <v>15</v>
      </c>
      <c r="B23" s="57" t="s">
        <v>191</v>
      </c>
      <c r="C23" s="57" t="s">
        <v>192</v>
      </c>
      <c r="D23" s="59">
        <v>34</v>
      </c>
      <c r="E23" s="59">
        <v>0.32499998807907104</v>
      </c>
      <c r="F23" s="59">
        <v>1.1349999904632568</v>
      </c>
      <c r="G23" s="57">
        <v>7</v>
      </c>
      <c r="H23" s="57">
        <v>12</v>
      </c>
      <c r="I23" s="57">
        <v>21</v>
      </c>
      <c r="J23" s="57">
        <v>4</v>
      </c>
      <c r="K23" s="57">
        <v>5</v>
      </c>
      <c r="L23" s="59">
        <v>5.5080881118774414</v>
      </c>
      <c r="M23" s="62">
        <v>0.2226027250289917</v>
      </c>
      <c r="N23" s="59">
        <v>4.794520378112793</v>
      </c>
      <c r="O23" s="59">
        <v>8.2191781997680664</v>
      </c>
      <c r="P23" s="59">
        <v>18.502202987670898</v>
      </c>
      <c r="Q23" s="59">
        <v>3.5242290496826172</v>
      </c>
    </row>
    <row r="24" spans="1:17" x14ac:dyDescent="0.15">
      <c r="A24" s="57">
        <v>16</v>
      </c>
      <c r="B24" s="57" t="s">
        <v>193</v>
      </c>
      <c r="C24" s="57" t="s">
        <v>194</v>
      </c>
      <c r="D24" s="59">
        <v>65.199996948242188</v>
      </c>
      <c r="E24" s="59">
        <v>0.28700000047683716</v>
      </c>
      <c r="F24" s="59">
        <v>0.88099998235702515</v>
      </c>
      <c r="G24" s="57">
        <v>15</v>
      </c>
      <c r="H24" s="57">
        <v>21</v>
      </c>
      <c r="I24" s="57">
        <v>23</v>
      </c>
      <c r="J24" s="57">
        <v>2</v>
      </c>
      <c r="K24" s="57">
        <v>3</v>
      </c>
      <c r="L24" s="59">
        <v>2.2295246124267578</v>
      </c>
      <c r="M24" s="62">
        <v>0.24571917951107025</v>
      </c>
      <c r="N24" s="59">
        <v>12.842466354370117</v>
      </c>
      <c r="O24" s="59">
        <v>17.979452133178711</v>
      </c>
      <c r="P24" s="59">
        <v>26.106697082519531</v>
      </c>
      <c r="Q24" s="59">
        <v>2.2701475620269775</v>
      </c>
    </row>
    <row r="25" spans="1:17" x14ac:dyDescent="0.15">
      <c r="A25" s="57">
        <v>17</v>
      </c>
      <c r="B25" s="57" t="s">
        <v>195</v>
      </c>
      <c r="C25" s="57" t="s">
        <v>196</v>
      </c>
      <c r="D25" s="59">
        <v>19.200000762939453</v>
      </c>
      <c r="E25" s="59">
        <v>0.16099999845027924</v>
      </c>
      <c r="F25" s="59">
        <v>0.51399999856948853</v>
      </c>
      <c r="G25" s="57">
        <v>3</v>
      </c>
      <c r="H25" s="57">
        <v>7</v>
      </c>
      <c r="I25" s="57">
        <v>11</v>
      </c>
      <c r="J25" s="57">
        <v>1</v>
      </c>
      <c r="K25" s="57">
        <v>2</v>
      </c>
      <c r="L25" s="59">
        <v>4.4171872138977051</v>
      </c>
      <c r="M25" s="62">
        <v>0.23851850628852844</v>
      </c>
      <c r="N25" s="59">
        <v>4.4444441795349121</v>
      </c>
      <c r="O25" s="59">
        <v>10.370369911193848</v>
      </c>
      <c r="P25" s="59">
        <v>21.400777816772461</v>
      </c>
      <c r="Q25" s="59">
        <v>1.9455252885818481</v>
      </c>
    </row>
    <row r="26" spans="1:17" x14ac:dyDescent="0.15">
      <c r="A26" s="57">
        <v>18</v>
      </c>
      <c r="B26" s="57" t="s">
        <v>197</v>
      </c>
      <c r="C26" s="57" t="s">
        <v>198</v>
      </c>
      <c r="D26" s="59">
        <v>26.200000762939453</v>
      </c>
      <c r="E26" s="59">
        <v>0.32100000977516174</v>
      </c>
      <c r="F26" s="59">
        <v>1.0230000019073486</v>
      </c>
      <c r="G26" s="57">
        <v>5</v>
      </c>
      <c r="H26" s="57">
        <v>5</v>
      </c>
      <c r="I26" s="57">
        <v>25</v>
      </c>
      <c r="J26" s="57">
        <v>2</v>
      </c>
      <c r="K26" s="57">
        <v>3</v>
      </c>
      <c r="L26" s="59">
        <v>6.4425568580627441</v>
      </c>
      <c r="M26" s="62">
        <v>0.23883929848670959</v>
      </c>
      <c r="N26" s="59">
        <v>3.720238208770752</v>
      </c>
      <c r="O26" s="59">
        <v>3.720238208770752</v>
      </c>
      <c r="P26" s="59">
        <v>24.43792724609375</v>
      </c>
      <c r="Q26" s="59">
        <v>1.9550342559814453</v>
      </c>
    </row>
    <row r="27" spans="1:17" x14ac:dyDescent="0.15">
      <c r="A27" s="57">
        <v>19</v>
      </c>
      <c r="B27" s="57" t="s">
        <v>199</v>
      </c>
      <c r="C27" s="57" t="s">
        <v>200</v>
      </c>
      <c r="D27" s="59">
        <v>15</v>
      </c>
      <c r="E27" s="59">
        <v>0.31000000238418579</v>
      </c>
      <c r="F27" s="59">
        <v>1.1239999532699585</v>
      </c>
      <c r="G27" s="57">
        <v>0</v>
      </c>
      <c r="H27" s="57">
        <v>0</v>
      </c>
      <c r="I27" s="57">
        <v>10</v>
      </c>
      <c r="J27" s="57">
        <v>0</v>
      </c>
      <c r="K27" s="57">
        <v>1</v>
      </c>
      <c r="L27" s="59">
        <v>12.363999366760254</v>
      </c>
      <c r="M27" s="62">
        <v>0.2161785215139389</v>
      </c>
      <c r="N27" s="59">
        <v>0</v>
      </c>
      <c r="O27" s="59">
        <v>0</v>
      </c>
      <c r="P27" s="59">
        <v>8.8967971801757813</v>
      </c>
      <c r="Q27" s="59">
        <v>0</v>
      </c>
    </row>
    <row r="28" spans="1:17" x14ac:dyDescent="0.15">
      <c r="A28" s="57">
        <v>20</v>
      </c>
      <c r="B28" s="57" t="s">
        <v>201</v>
      </c>
      <c r="C28" s="57" t="s">
        <v>202</v>
      </c>
      <c r="D28" s="59">
        <v>10.899999618530273</v>
      </c>
      <c r="E28" s="59">
        <v>0.14599999785423279</v>
      </c>
      <c r="F28" s="59">
        <v>0.70300000905990601</v>
      </c>
      <c r="G28" s="57">
        <v>0</v>
      </c>
      <c r="H28" s="57">
        <v>0</v>
      </c>
      <c r="I28" s="57">
        <v>12</v>
      </c>
      <c r="J28" s="57">
        <v>0</v>
      </c>
      <c r="K28" s="57">
        <v>1</v>
      </c>
      <c r="L28" s="59">
        <v>10.641743659973145</v>
      </c>
      <c r="M28" s="62">
        <v>0.1719670295715332</v>
      </c>
      <c r="N28" s="59">
        <v>0</v>
      </c>
      <c r="O28" s="59">
        <v>0</v>
      </c>
      <c r="P28" s="59">
        <v>17.069700241088867</v>
      </c>
      <c r="Q28" s="59">
        <v>0</v>
      </c>
    </row>
    <row r="29" spans="1:17" x14ac:dyDescent="0.15">
      <c r="A29" s="57">
        <v>21</v>
      </c>
      <c r="B29" s="57" t="s">
        <v>203</v>
      </c>
      <c r="C29" s="57" t="s">
        <v>204</v>
      </c>
      <c r="D29" s="59">
        <v>16.399999618530273</v>
      </c>
      <c r="E29" s="59">
        <v>0.15199999511241913</v>
      </c>
      <c r="F29" s="59">
        <v>0.62000000476837158</v>
      </c>
      <c r="G29" s="57">
        <v>0</v>
      </c>
      <c r="H29" s="57">
        <v>0</v>
      </c>
      <c r="I29" s="57">
        <v>8</v>
      </c>
      <c r="J29" s="57">
        <v>0</v>
      </c>
      <c r="K29" s="57">
        <v>0</v>
      </c>
      <c r="L29" s="59">
        <v>6.2378053665161133</v>
      </c>
      <c r="M29" s="62">
        <v>0.196891188621521</v>
      </c>
      <c r="N29" s="59">
        <v>0</v>
      </c>
      <c r="O29" s="59">
        <v>0</v>
      </c>
      <c r="P29" s="59">
        <v>12.903225898742676</v>
      </c>
      <c r="Q29" s="59">
        <v>0</v>
      </c>
    </row>
    <row r="30" spans="1:17" x14ac:dyDescent="0.15">
      <c r="A30" s="57">
        <v>22</v>
      </c>
      <c r="B30" s="57" t="s">
        <v>205</v>
      </c>
      <c r="C30" s="57" t="s">
        <v>206</v>
      </c>
      <c r="D30" s="59">
        <v>9.5</v>
      </c>
      <c r="E30" s="59">
        <v>0.15099999308586121</v>
      </c>
      <c r="F30" s="59">
        <v>0.64399999380111694</v>
      </c>
      <c r="G30" s="57">
        <v>0</v>
      </c>
      <c r="H30" s="57">
        <v>0</v>
      </c>
      <c r="I30" s="57">
        <v>9</v>
      </c>
      <c r="J30" s="57">
        <v>0</v>
      </c>
      <c r="K30" s="57">
        <v>0</v>
      </c>
      <c r="L30" s="59">
        <v>11.185263633728027</v>
      </c>
      <c r="M30" s="62">
        <v>0.18993711471557617</v>
      </c>
      <c r="N30" s="59">
        <v>0</v>
      </c>
      <c r="O30" s="59">
        <v>0</v>
      </c>
      <c r="P30" s="59">
        <v>13.975155830383301</v>
      </c>
      <c r="Q30" s="59">
        <v>0</v>
      </c>
    </row>
    <row r="31" spans="1:17" x14ac:dyDescent="0.15">
      <c r="A31" s="57">
        <v>23</v>
      </c>
      <c r="B31" s="57" t="s">
        <v>207</v>
      </c>
      <c r="C31" s="57" t="s">
        <v>208</v>
      </c>
      <c r="D31" s="59">
        <v>6</v>
      </c>
      <c r="E31" s="59">
        <v>8.6000002920627594E-2</v>
      </c>
      <c r="F31" s="59">
        <v>0.32199999690055847</v>
      </c>
      <c r="G31" s="57">
        <v>0</v>
      </c>
      <c r="H31" s="57">
        <v>0</v>
      </c>
      <c r="I31" s="57">
        <v>8</v>
      </c>
      <c r="J31" s="57">
        <v>1</v>
      </c>
      <c r="K31" s="57">
        <v>2</v>
      </c>
      <c r="L31" s="59">
        <v>8.8550004959106445</v>
      </c>
      <c r="M31" s="62">
        <v>0.21078433096408844</v>
      </c>
      <c r="N31" s="59">
        <v>0</v>
      </c>
      <c r="O31" s="59">
        <v>0</v>
      </c>
      <c r="P31" s="59">
        <v>24.844720840454102</v>
      </c>
      <c r="Q31" s="59">
        <v>3.1055901050567627</v>
      </c>
    </row>
    <row r="32" spans="1:17" x14ac:dyDescent="0.15">
      <c r="A32" s="57">
        <v>24</v>
      </c>
      <c r="B32" s="57" t="s">
        <v>209</v>
      </c>
      <c r="C32" s="57" t="s">
        <v>210</v>
      </c>
      <c r="D32" s="59">
        <v>18.100000381469727</v>
      </c>
      <c r="E32" s="59">
        <v>0.30500000715255737</v>
      </c>
      <c r="F32" s="59">
        <v>1.0190000534057617</v>
      </c>
      <c r="G32" s="57">
        <v>0</v>
      </c>
      <c r="H32" s="57">
        <v>0</v>
      </c>
      <c r="I32" s="57">
        <v>23</v>
      </c>
      <c r="J32" s="57">
        <v>0</v>
      </c>
      <c r="K32" s="57">
        <v>0</v>
      </c>
      <c r="L32" s="59">
        <v>9.2892265319824219</v>
      </c>
      <c r="M32" s="62">
        <v>0.23036251962184906</v>
      </c>
      <c r="N32" s="59">
        <v>0</v>
      </c>
      <c r="O32" s="59">
        <v>0</v>
      </c>
      <c r="P32" s="59">
        <v>22.571147918701172</v>
      </c>
      <c r="Q32" s="59">
        <v>0</v>
      </c>
    </row>
    <row r="33" spans="1:17" x14ac:dyDescent="0.15">
      <c r="A33" s="57">
        <v>25</v>
      </c>
      <c r="B33" s="57" t="s">
        <v>211</v>
      </c>
      <c r="C33" s="57" t="s">
        <v>212</v>
      </c>
      <c r="D33" s="59">
        <v>9.5</v>
      </c>
      <c r="E33" s="59">
        <v>0.14200000464916229</v>
      </c>
      <c r="F33" s="59">
        <v>0.42699998617172241</v>
      </c>
      <c r="G33" s="57">
        <v>0</v>
      </c>
      <c r="H33" s="57">
        <v>0</v>
      </c>
      <c r="I33" s="57">
        <v>7</v>
      </c>
      <c r="J33" s="57">
        <v>0</v>
      </c>
      <c r="K33" s="57">
        <v>0</v>
      </c>
      <c r="L33" s="59">
        <v>7.4163150787353516</v>
      </c>
      <c r="M33" s="62">
        <v>0.2495606392621994</v>
      </c>
      <c r="N33" s="59">
        <v>0</v>
      </c>
      <c r="O33" s="59">
        <v>0</v>
      </c>
      <c r="P33" s="59">
        <v>16.393444061279297</v>
      </c>
      <c r="Q33" s="59">
        <v>0</v>
      </c>
    </row>
    <row r="34" spans="1:17" x14ac:dyDescent="0.15">
      <c r="A34" s="57">
        <v>26</v>
      </c>
      <c r="B34" s="57" t="s">
        <v>213</v>
      </c>
      <c r="C34" s="57" t="s">
        <v>214</v>
      </c>
      <c r="D34" s="59">
        <v>40.599998474121094</v>
      </c>
      <c r="E34" s="59">
        <v>0.1289999932050705</v>
      </c>
      <c r="F34" s="59">
        <v>0.65399998426437378</v>
      </c>
      <c r="G34" s="57">
        <v>0</v>
      </c>
      <c r="H34" s="57">
        <v>0</v>
      </c>
      <c r="I34" s="57">
        <v>26</v>
      </c>
      <c r="J34" s="57">
        <v>1</v>
      </c>
      <c r="K34" s="57">
        <v>1</v>
      </c>
      <c r="L34" s="59">
        <v>2.6578817367553711</v>
      </c>
      <c r="M34" s="62">
        <v>0.16475094854831696</v>
      </c>
      <c r="N34" s="59">
        <v>0</v>
      </c>
      <c r="O34" s="59">
        <v>0</v>
      </c>
      <c r="P34" s="59">
        <v>39.755352020263672</v>
      </c>
      <c r="Q34" s="59">
        <v>1.5290520191192627</v>
      </c>
    </row>
    <row r="35" spans="1:17" x14ac:dyDescent="0.15">
      <c r="A35" s="57">
        <v>27</v>
      </c>
      <c r="B35" s="57" t="s">
        <v>215</v>
      </c>
      <c r="C35" s="57" t="s">
        <v>216</v>
      </c>
      <c r="D35" s="59">
        <v>6.0999999046325684</v>
      </c>
      <c r="E35" s="59">
        <v>7.9000003635883331E-2</v>
      </c>
      <c r="F35" s="59">
        <v>0.22200000286102295</v>
      </c>
      <c r="G35" s="57">
        <v>0</v>
      </c>
      <c r="H35" s="57">
        <v>0</v>
      </c>
      <c r="I35" s="57">
        <v>6</v>
      </c>
      <c r="J35" s="57">
        <v>0</v>
      </c>
      <c r="K35" s="57">
        <v>1</v>
      </c>
      <c r="L35" s="59">
        <v>6.004918098449707</v>
      </c>
      <c r="M35" s="62">
        <v>0.26245847344398499</v>
      </c>
      <c r="N35" s="59">
        <v>0</v>
      </c>
      <c r="O35" s="59">
        <v>0</v>
      </c>
      <c r="P35" s="59">
        <v>27.027027130126953</v>
      </c>
      <c r="Q35" s="59">
        <v>0</v>
      </c>
    </row>
    <row r="36" spans="1:17" x14ac:dyDescent="0.15">
      <c r="A36" s="57">
        <v>28</v>
      </c>
      <c r="B36" s="57" t="s">
        <v>217</v>
      </c>
      <c r="C36" s="57" t="s">
        <v>218</v>
      </c>
      <c r="D36" s="59">
        <v>6</v>
      </c>
      <c r="E36" s="59">
        <v>8.5000000894069672E-2</v>
      </c>
      <c r="F36" s="59">
        <v>0.25900000333786011</v>
      </c>
      <c r="G36" s="57">
        <v>0</v>
      </c>
      <c r="H36" s="57">
        <v>0</v>
      </c>
      <c r="I36" s="57">
        <v>5</v>
      </c>
      <c r="J36" s="57">
        <v>0</v>
      </c>
      <c r="K36" s="57">
        <v>1</v>
      </c>
      <c r="L36" s="59">
        <v>7.122499942779541</v>
      </c>
      <c r="M36" s="62">
        <v>0.24709302186965942</v>
      </c>
      <c r="N36" s="59">
        <v>0</v>
      </c>
      <c r="O36" s="59">
        <v>0</v>
      </c>
      <c r="P36" s="59">
        <v>19.305019378662109</v>
      </c>
      <c r="Q36" s="59">
        <v>0</v>
      </c>
    </row>
    <row r="37" spans="1:17" x14ac:dyDescent="0.15">
      <c r="A37" s="57">
        <v>29</v>
      </c>
      <c r="B37" s="57" t="s">
        <v>219</v>
      </c>
      <c r="C37" s="57" t="s">
        <v>220</v>
      </c>
      <c r="D37" s="59">
        <v>0</v>
      </c>
      <c r="E37" s="59">
        <v>0</v>
      </c>
      <c r="F37" s="59">
        <v>0</v>
      </c>
      <c r="G37" s="57">
        <v>0</v>
      </c>
      <c r="H37" s="57">
        <v>0</v>
      </c>
      <c r="I37" s="57">
        <v>0</v>
      </c>
      <c r="J37" s="57">
        <v>0</v>
      </c>
      <c r="K37" s="57">
        <v>0</v>
      </c>
      <c r="L37" s="59">
        <v>0</v>
      </c>
      <c r="M37" s="62">
        <v>0</v>
      </c>
      <c r="N37" s="59">
        <v>0</v>
      </c>
      <c r="O37" s="59">
        <v>0</v>
      </c>
      <c r="P37" s="59">
        <v>0</v>
      </c>
      <c r="Q37" s="59">
        <v>0</v>
      </c>
    </row>
    <row r="38" spans="1:17" x14ac:dyDescent="0.15">
      <c r="A38" s="88" t="s">
        <v>161</v>
      </c>
      <c r="B38" s="88"/>
      <c r="C38" s="88"/>
      <c r="D38" s="60">
        <v>425.20001220703125</v>
      </c>
      <c r="E38" s="60">
        <v>3.247999906539917</v>
      </c>
      <c r="F38" s="60">
        <v>11.689000129699707</v>
      </c>
      <c r="G38" s="58">
        <v>45</v>
      </c>
      <c r="H38" s="58">
        <v>71</v>
      </c>
      <c r="I38" s="58">
        <v>300</v>
      </c>
      <c r="J38" s="58">
        <v>20</v>
      </c>
      <c r="K38" s="58">
        <v>29</v>
      </c>
      <c r="L38" s="60">
        <v>4.5359477996826172</v>
      </c>
      <c r="M38" s="63">
        <v>0.21744659543037415</v>
      </c>
      <c r="N38" s="60">
        <v>3.012653112411499</v>
      </c>
      <c r="O38" s="60">
        <v>4.7532973289489746</v>
      </c>
      <c r="P38" s="60">
        <v>25.665155410766602</v>
      </c>
      <c r="Q38" s="60">
        <v>1.7110103368759155</v>
      </c>
    </row>
  </sheetData>
  <mergeCells count="11">
    <mergeCell ref="A38:C38"/>
    <mergeCell ref="L6:Q7"/>
    <mergeCell ref="A1:Q5"/>
    <mergeCell ref="A6:A8"/>
    <mergeCell ref="B6:B8"/>
    <mergeCell ref="C6:C8"/>
    <mergeCell ref="D6:H6"/>
    <mergeCell ref="I6:K6"/>
    <mergeCell ref="D7:F7"/>
    <mergeCell ref="G7:H7"/>
    <mergeCell ref="J7:K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btnKPICollect">
          <controlPr defaultSize="0" autoLine="0" r:id="rId5">
            <anchor moveWithCells="1">
              <from>
                <xdr:col>11</xdr:col>
                <xdr:colOff>381000</xdr:colOff>
                <xdr:row>2</xdr:row>
                <xdr:rowOff>123825</xdr:rowOff>
              </from>
              <to>
                <xdr:col>12</xdr:col>
                <xdr:colOff>504825</xdr:colOff>
                <xdr:row>4</xdr:row>
                <xdr:rowOff>66675</xdr:rowOff>
              </to>
            </anchor>
          </controlPr>
        </control>
      </mc:Choice>
      <mc:Fallback>
        <control shapeId="5124" r:id="rId4" name="btnKPICollec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72"/>
  <sheetViews>
    <sheetView workbookViewId="0"/>
  </sheetViews>
  <sheetFormatPr defaultRowHeight="13.5" x14ac:dyDescent="0.15"/>
  <cols>
    <col min="1" max="1" width="7.375" style="36" customWidth="1"/>
    <col min="2" max="2" width="29" style="36" customWidth="1"/>
    <col min="3" max="3" width="77.25" style="36" customWidth="1"/>
    <col min="4" max="4" width="9" style="36"/>
  </cols>
  <sheetData>
    <row r="1" spans="1:5" ht="26.25" customHeight="1" x14ac:dyDescent="0.15">
      <c r="A1" s="50" t="s">
        <v>0</v>
      </c>
      <c r="B1" s="50" t="s">
        <v>128</v>
      </c>
      <c r="C1" s="50" t="s">
        <v>1</v>
      </c>
      <c r="D1" s="50" t="s">
        <v>2</v>
      </c>
      <c r="E1" s="52" t="s">
        <v>131</v>
      </c>
    </row>
    <row r="2" spans="1:5" x14ac:dyDescent="0.15">
      <c r="A2"/>
      <c r="B2"/>
      <c r="C2"/>
      <c r="D2"/>
    </row>
    <row r="3" spans="1:5" x14ac:dyDescent="0.15">
      <c r="A3"/>
      <c r="B3"/>
      <c r="C3"/>
      <c r="D3"/>
    </row>
    <row r="4" spans="1:5" x14ac:dyDescent="0.15">
      <c r="A4"/>
      <c r="B4"/>
      <c r="C4"/>
      <c r="D4"/>
    </row>
    <row r="5" spans="1:5" x14ac:dyDescent="0.15">
      <c r="A5"/>
      <c r="B5"/>
      <c r="C5"/>
      <c r="D5"/>
    </row>
    <row r="6" spans="1:5" x14ac:dyDescent="0.15">
      <c r="A6"/>
      <c r="B6"/>
      <c r="C6"/>
      <c r="D6"/>
    </row>
    <row r="7" spans="1:5" x14ac:dyDescent="0.15">
      <c r="A7"/>
      <c r="B7"/>
      <c r="C7"/>
      <c r="D7"/>
    </row>
    <row r="8" spans="1:5" x14ac:dyDescent="0.15">
      <c r="A8"/>
      <c r="B8"/>
      <c r="C8"/>
      <c r="D8"/>
    </row>
    <row r="9" spans="1:5" x14ac:dyDescent="0.15">
      <c r="A9"/>
      <c r="B9"/>
      <c r="C9"/>
      <c r="D9"/>
    </row>
    <row r="10" spans="1:5" x14ac:dyDescent="0.15">
      <c r="A10"/>
      <c r="B10"/>
      <c r="C10"/>
      <c r="D10"/>
    </row>
    <row r="11" spans="1:5" x14ac:dyDescent="0.15">
      <c r="A11"/>
      <c r="B11"/>
      <c r="C11"/>
      <c r="D11"/>
    </row>
    <row r="12" spans="1:5" x14ac:dyDescent="0.15">
      <c r="A12"/>
      <c r="B12"/>
      <c r="C12"/>
      <c r="D12"/>
    </row>
    <row r="13" spans="1:5" x14ac:dyDescent="0.15">
      <c r="A13"/>
      <c r="B13"/>
      <c r="C13"/>
      <c r="D13"/>
    </row>
    <row r="14" spans="1:5" x14ac:dyDescent="0.15">
      <c r="A14"/>
      <c r="B14"/>
      <c r="C14"/>
      <c r="D14"/>
    </row>
    <row r="15" spans="1:5" x14ac:dyDescent="0.15">
      <c r="A15"/>
      <c r="B15"/>
      <c r="C15"/>
      <c r="D15"/>
    </row>
    <row r="16" spans="1:5" x14ac:dyDescent="0.15">
      <c r="A16"/>
      <c r="B16"/>
      <c r="C16"/>
      <c r="D16"/>
    </row>
    <row r="17" spans="1:4" x14ac:dyDescent="0.15">
      <c r="A17"/>
      <c r="B17"/>
      <c r="C17"/>
      <c r="D17"/>
    </row>
    <row r="18" spans="1:4" x14ac:dyDescent="0.15">
      <c r="A18"/>
      <c r="B18"/>
      <c r="C18"/>
      <c r="D18"/>
    </row>
    <row r="19" spans="1:4" x14ac:dyDescent="0.15">
      <c r="A19"/>
      <c r="B19"/>
      <c r="C19"/>
      <c r="D19"/>
    </row>
    <row r="20" spans="1:4" x14ac:dyDescent="0.15">
      <c r="A20"/>
      <c r="B20"/>
      <c r="C20"/>
      <c r="D20"/>
    </row>
    <row r="21" spans="1:4" x14ac:dyDescent="0.15">
      <c r="A21"/>
      <c r="B21"/>
      <c r="C21"/>
      <c r="D21"/>
    </row>
    <row r="22" spans="1:4" x14ac:dyDescent="0.15">
      <c r="A22"/>
      <c r="B22"/>
      <c r="C22"/>
      <c r="D22"/>
    </row>
    <row r="23" spans="1:4" x14ac:dyDescent="0.15">
      <c r="A23"/>
      <c r="B23"/>
      <c r="C23"/>
      <c r="D23"/>
    </row>
    <row r="24" spans="1:4" x14ac:dyDescent="0.15">
      <c r="A24"/>
      <c r="B24"/>
      <c r="C24"/>
      <c r="D24"/>
    </row>
    <row r="25" spans="1:4" x14ac:dyDescent="0.15">
      <c r="A25"/>
      <c r="B25"/>
      <c r="C25"/>
      <c r="D25"/>
    </row>
    <row r="26" spans="1:4" x14ac:dyDescent="0.15">
      <c r="A26"/>
      <c r="B26"/>
      <c r="C26"/>
      <c r="D26"/>
    </row>
    <row r="27" spans="1:4" x14ac:dyDescent="0.15">
      <c r="A27"/>
      <c r="B27"/>
      <c r="C27"/>
      <c r="D27"/>
    </row>
    <row r="28" spans="1:4" x14ac:dyDescent="0.15">
      <c r="A28"/>
      <c r="B28"/>
      <c r="C28"/>
      <c r="D28"/>
    </row>
    <row r="29" spans="1:4" x14ac:dyDescent="0.15">
      <c r="A29"/>
      <c r="B29"/>
      <c r="C29"/>
      <c r="D29"/>
    </row>
    <row r="30" spans="1:4" x14ac:dyDescent="0.15">
      <c r="A30"/>
      <c r="B30"/>
      <c r="C30"/>
      <c r="D30"/>
    </row>
    <row r="31" spans="1:4" x14ac:dyDescent="0.15">
      <c r="A31"/>
      <c r="B31"/>
      <c r="C31"/>
      <c r="D31"/>
    </row>
    <row r="32" spans="1:4" x14ac:dyDescent="0.15">
      <c r="A32"/>
      <c r="B32"/>
      <c r="C32"/>
      <c r="D32"/>
    </row>
    <row r="33" spans="1:4" x14ac:dyDescent="0.15">
      <c r="A33"/>
      <c r="B33"/>
      <c r="C33"/>
      <c r="D33"/>
    </row>
    <row r="34" spans="1:4" x14ac:dyDescent="0.15">
      <c r="A34"/>
      <c r="B34"/>
      <c r="C34"/>
      <c r="D34"/>
    </row>
    <row r="35" spans="1:4" x14ac:dyDescent="0.15">
      <c r="A35"/>
      <c r="B35"/>
      <c r="C35"/>
      <c r="D35"/>
    </row>
    <row r="36" spans="1:4" x14ac:dyDescent="0.15">
      <c r="A36"/>
      <c r="B36"/>
      <c r="C36"/>
      <c r="D36"/>
    </row>
    <row r="37" spans="1:4" x14ac:dyDescent="0.15">
      <c r="A37"/>
      <c r="B37"/>
      <c r="C37"/>
      <c r="D37"/>
    </row>
    <row r="38" spans="1:4" x14ac:dyDescent="0.15">
      <c r="A38"/>
      <c r="B38"/>
      <c r="C38"/>
      <c r="D38"/>
    </row>
    <row r="39" spans="1:4" x14ac:dyDescent="0.15">
      <c r="A39"/>
      <c r="B39"/>
      <c r="C39"/>
      <c r="D39"/>
    </row>
    <row r="40" spans="1:4" x14ac:dyDescent="0.15">
      <c r="A40"/>
      <c r="B40"/>
      <c r="C40"/>
      <c r="D40"/>
    </row>
    <row r="41" spans="1:4" x14ac:dyDescent="0.15">
      <c r="A41"/>
      <c r="B41"/>
      <c r="C41"/>
      <c r="D41"/>
    </row>
    <row r="42" spans="1:4" x14ac:dyDescent="0.15">
      <c r="A42"/>
      <c r="B42"/>
      <c r="C42"/>
      <c r="D42"/>
    </row>
    <row r="43" spans="1:4" x14ac:dyDescent="0.15">
      <c r="A43"/>
      <c r="B43"/>
      <c r="C43"/>
      <c r="D43"/>
    </row>
    <row r="44" spans="1:4" x14ac:dyDescent="0.15">
      <c r="A44"/>
      <c r="B44"/>
      <c r="C44"/>
      <c r="D44"/>
    </row>
    <row r="45" spans="1:4" x14ac:dyDescent="0.15">
      <c r="A45"/>
      <c r="B45"/>
      <c r="C45"/>
      <c r="D45"/>
    </row>
    <row r="46" spans="1:4" x14ac:dyDescent="0.15">
      <c r="A46"/>
      <c r="B46"/>
      <c r="C46"/>
      <c r="D46"/>
    </row>
    <row r="47" spans="1:4" x14ac:dyDescent="0.15">
      <c r="A47"/>
      <c r="B47"/>
      <c r="C47"/>
      <c r="D47"/>
    </row>
    <row r="48" spans="1:4" x14ac:dyDescent="0.15">
      <c r="A48"/>
      <c r="B48"/>
      <c r="C48"/>
      <c r="D48"/>
    </row>
    <row r="49" spans="1:4" x14ac:dyDescent="0.15">
      <c r="A49"/>
      <c r="B49"/>
      <c r="C49"/>
      <c r="D49"/>
    </row>
    <row r="50" spans="1:4" x14ac:dyDescent="0.15">
      <c r="A50"/>
      <c r="B50"/>
      <c r="C50"/>
      <c r="D50"/>
    </row>
    <row r="51" spans="1:4" x14ac:dyDescent="0.15">
      <c r="A51"/>
      <c r="B51"/>
      <c r="C51"/>
      <c r="D51"/>
    </row>
    <row r="52" spans="1:4" x14ac:dyDescent="0.15">
      <c r="A52"/>
      <c r="B52"/>
      <c r="C52"/>
      <c r="D52"/>
    </row>
    <row r="53" spans="1:4" x14ac:dyDescent="0.15">
      <c r="A53"/>
      <c r="B53"/>
      <c r="C53"/>
      <c r="D53"/>
    </row>
    <row r="54" spans="1:4" x14ac:dyDescent="0.15">
      <c r="A54"/>
      <c r="B54"/>
      <c r="C54"/>
      <c r="D54"/>
    </row>
    <row r="55" spans="1:4" x14ac:dyDescent="0.15">
      <c r="A55"/>
      <c r="B55"/>
      <c r="C55"/>
      <c r="D55"/>
    </row>
    <row r="56" spans="1:4" x14ac:dyDescent="0.15">
      <c r="A56"/>
      <c r="B56"/>
      <c r="C56"/>
      <c r="D56"/>
    </row>
    <row r="57" spans="1:4" x14ac:dyDescent="0.15">
      <c r="A57"/>
      <c r="B57"/>
      <c r="C57"/>
      <c r="D57"/>
    </row>
    <row r="58" spans="1:4" x14ac:dyDescent="0.15">
      <c r="A58"/>
      <c r="B58"/>
      <c r="C58"/>
      <c r="D58"/>
    </row>
    <row r="59" spans="1:4" x14ac:dyDescent="0.15">
      <c r="A59"/>
      <c r="B59"/>
      <c r="C59"/>
      <c r="D59"/>
    </row>
    <row r="60" spans="1:4" x14ac:dyDescent="0.15">
      <c r="A60"/>
      <c r="B60"/>
      <c r="C60"/>
      <c r="D60"/>
    </row>
    <row r="61" spans="1:4" x14ac:dyDescent="0.15">
      <c r="A61"/>
      <c r="B61"/>
      <c r="C61"/>
      <c r="D61"/>
    </row>
    <row r="62" spans="1:4" x14ac:dyDescent="0.15">
      <c r="A62"/>
      <c r="B62"/>
      <c r="C62"/>
      <c r="D62"/>
    </row>
    <row r="63" spans="1:4" x14ac:dyDescent="0.15">
      <c r="A63"/>
      <c r="B63"/>
      <c r="C63"/>
      <c r="D63"/>
    </row>
    <row r="64" spans="1:4" x14ac:dyDescent="0.15">
      <c r="A64"/>
      <c r="B64"/>
      <c r="C64"/>
      <c r="D64"/>
    </row>
    <row r="65" spans="1:4" x14ac:dyDescent="0.15">
      <c r="A65"/>
      <c r="B65"/>
      <c r="C65"/>
      <c r="D65"/>
    </row>
    <row r="66" spans="1:4" x14ac:dyDescent="0.15">
      <c r="A66"/>
      <c r="B66"/>
      <c r="C66"/>
      <c r="D66"/>
    </row>
    <row r="67" spans="1:4" x14ac:dyDescent="0.15">
      <c r="A67"/>
      <c r="B67"/>
      <c r="C67"/>
      <c r="D67"/>
    </row>
    <row r="68" spans="1:4" x14ac:dyDescent="0.15">
      <c r="A68"/>
      <c r="B68"/>
      <c r="C68"/>
      <c r="D68"/>
    </row>
    <row r="69" spans="1:4" x14ac:dyDescent="0.15">
      <c r="A69"/>
      <c r="B69"/>
      <c r="C69"/>
      <c r="D69"/>
    </row>
    <row r="70" spans="1:4" x14ac:dyDescent="0.15">
      <c r="A70"/>
      <c r="B70"/>
      <c r="C70"/>
      <c r="D70"/>
    </row>
    <row r="71" spans="1:4" x14ac:dyDescent="0.15">
      <c r="A71"/>
      <c r="B71"/>
      <c r="C71"/>
      <c r="D71"/>
    </row>
    <row r="72" spans="1:4" x14ac:dyDescent="0.15">
      <c r="A72"/>
      <c r="B72"/>
      <c r="C72"/>
      <c r="D72"/>
    </row>
  </sheetData>
  <autoFilter ref="A1:D51"/>
  <dataConsolidate/>
  <phoneticPr fontId="1" type="noConversion"/>
  <hyperlinks>
    <hyperlink ref="E1" location="'(二-3)检查问题统计'!A1" display="返回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1"/>
  <sheetViews>
    <sheetView workbookViewId="0"/>
  </sheetViews>
  <sheetFormatPr defaultRowHeight="13.5" x14ac:dyDescent="0.15"/>
  <cols>
    <col min="1" max="1" width="7.375" customWidth="1"/>
    <col min="2" max="2" width="49.875" customWidth="1"/>
    <col min="3" max="3" width="77.25" customWidth="1"/>
  </cols>
  <sheetData>
    <row r="1" spans="1:5" ht="18.75" customHeight="1" x14ac:dyDescent="0.15">
      <c r="A1" s="50" t="s">
        <v>0</v>
      </c>
      <c r="B1" s="50" t="s">
        <v>128</v>
      </c>
      <c r="C1" s="50" t="s">
        <v>1</v>
      </c>
      <c r="D1" s="50" t="s">
        <v>2</v>
      </c>
      <c r="E1" s="52" t="s">
        <v>131</v>
      </c>
    </row>
  </sheetData>
  <phoneticPr fontId="1" type="noConversion"/>
  <hyperlinks>
    <hyperlink ref="E1" location="'(二-4)评审问题统计'!A1" display="返回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1"/>
  <sheetViews>
    <sheetView workbookViewId="0"/>
  </sheetViews>
  <sheetFormatPr defaultRowHeight="13.5" x14ac:dyDescent="0.15"/>
  <cols>
    <col min="1" max="1" width="7.375" customWidth="1"/>
    <col min="2" max="2" width="31.5" customWidth="1"/>
    <col min="3" max="3" width="77.25" customWidth="1"/>
  </cols>
  <sheetData>
    <row r="1" spans="1:6" ht="23.25" customHeight="1" x14ac:dyDescent="0.15">
      <c r="A1" s="61" t="s">
        <v>0</v>
      </c>
      <c r="B1" s="61" t="s">
        <v>128</v>
      </c>
      <c r="C1" s="61" t="s">
        <v>112</v>
      </c>
      <c r="D1" s="61" t="s">
        <v>113</v>
      </c>
      <c r="E1" s="61" t="s">
        <v>114</v>
      </c>
      <c r="F1" s="51" t="s">
        <v>132</v>
      </c>
    </row>
  </sheetData>
  <phoneticPr fontId="1" type="noConversion"/>
  <hyperlinks>
    <hyperlink ref="F1" location="'(二-6)测试bug统计'!A1" display="返回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L283"/>
  <sheetViews>
    <sheetView workbookViewId="0">
      <selection activeCell="F17" sqref="F17"/>
    </sheetView>
  </sheetViews>
  <sheetFormatPr defaultRowHeight="13.5" x14ac:dyDescent="0.15"/>
  <cols>
    <col min="1" max="1" width="1.5" style="4" customWidth="1"/>
    <col min="2" max="2" width="6.625" style="3" customWidth="1"/>
    <col min="3" max="3" width="12.5" style="4" customWidth="1"/>
    <col min="4" max="4" width="17.75" style="4" customWidth="1"/>
    <col min="5" max="5" width="8.125" style="4" customWidth="1"/>
    <col min="6" max="6" width="41.75" style="5" customWidth="1"/>
    <col min="7" max="12" width="8.75" style="5" customWidth="1"/>
    <col min="13" max="16384" width="9" style="4"/>
  </cols>
  <sheetData>
    <row r="1" spans="2:12" ht="14.25" customHeight="1" x14ac:dyDescent="0.15"/>
    <row r="2" spans="2:12" ht="18" customHeight="1" x14ac:dyDescent="0.15">
      <c r="B2" s="109" t="s">
        <v>5</v>
      </c>
      <c r="C2" s="109" t="s">
        <v>6</v>
      </c>
      <c r="D2" s="109" t="s">
        <v>7</v>
      </c>
      <c r="E2" s="109" t="s">
        <v>8</v>
      </c>
      <c r="F2" s="103" t="s">
        <v>9</v>
      </c>
      <c r="G2" s="103" t="s">
        <v>10</v>
      </c>
      <c r="H2" s="103"/>
      <c r="I2" s="103"/>
      <c r="J2" s="103" t="s">
        <v>11</v>
      </c>
      <c r="K2" s="103"/>
      <c r="L2" s="103"/>
    </row>
    <row r="3" spans="2:12" s="7" customFormat="1" ht="18" customHeight="1" x14ac:dyDescent="0.15">
      <c r="B3" s="109"/>
      <c r="C3" s="109"/>
      <c r="D3" s="109"/>
      <c r="E3" s="109"/>
      <c r="F3" s="103"/>
      <c r="G3" s="6" t="s">
        <v>12</v>
      </c>
      <c r="H3" s="6" t="s">
        <v>13</v>
      </c>
      <c r="I3" s="6" t="s">
        <v>14</v>
      </c>
      <c r="J3" s="6" t="s">
        <v>12</v>
      </c>
      <c r="K3" s="6" t="s">
        <v>13</v>
      </c>
      <c r="L3" s="6" t="s">
        <v>14</v>
      </c>
    </row>
    <row r="4" spans="2:12" s="13" customFormat="1" ht="19.5" customHeight="1" x14ac:dyDescent="0.15">
      <c r="B4" s="8" t="s">
        <v>15</v>
      </c>
      <c r="C4" s="104" t="s">
        <v>16</v>
      </c>
      <c r="D4" s="9" t="s">
        <v>17</v>
      </c>
      <c r="E4" s="9" t="s">
        <v>18</v>
      </c>
      <c r="F4" s="10" t="s">
        <v>19</v>
      </c>
      <c r="G4" s="11">
        <f t="shared" ref="G4:G10" si="0">H4*0.8</f>
        <v>1.6</v>
      </c>
      <c r="H4" s="11">
        <v>2</v>
      </c>
      <c r="I4" s="11">
        <f t="shared" ref="I4:I10" si="1">H4*1.2</f>
        <v>2.4</v>
      </c>
      <c r="J4" s="12">
        <f t="shared" ref="J4:J10" si="2">K4*0.8</f>
        <v>1.6</v>
      </c>
      <c r="K4" s="12">
        <v>2</v>
      </c>
      <c r="L4" s="12">
        <f t="shared" ref="L4:L10" si="3">K4*1.2</f>
        <v>2.4</v>
      </c>
    </row>
    <row r="5" spans="2:12" s="13" customFormat="1" ht="19.5" customHeight="1" x14ac:dyDescent="0.15">
      <c r="B5" s="8" t="s">
        <v>20</v>
      </c>
      <c r="C5" s="105"/>
      <c r="D5" s="9" t="s">
        <v>21</v>
      </c>
      <c r="E5" s="9" t="s">
        <v>22</v>
      </c>
      <c r="F5" s="10" t="s">
        <v>23</v>
      </c>
      <c r="G5" s="11">
        <f t="shared" si="0"/>
        <v>1.2000000000000002</v>
      </c>
      <c r="H5" s="11">
        <v>1.5</v>
      </c>
      <c r="I5" s="11">
        <f t="shared" si="1"/>
        <v>1.7999999999999998</v>
      </c>
      <c r="J5" s="12">
        <f t="shared" si="2"/>
        <v>1.2000000000000002</v>
      </c>
      <c r="K5" s="12">
        <v>1.5</v>
      </c>
      <c r="L5" s="12">
        <f t="shared" si="3"/>
        <v>1.7999999999999998</v>
      </c>
    </row>
    <row r="6" spans="2:12" s="13" customFormat="1" ht="19.5" customHeight="1" x14ac:dyDescent="0.15">
      <c r="B6" s="8" t="s">
        <v>24</v>
      </c>
      <c r="C6" s="105"/>
      <c r="D6" s="9" t="s">
        <v>25</v>
      </c>
      <c r="E6" s="9" t="s">
        <v>26</v>
      </c>
      <c r="F6" s="10" t="s">
        <v>146</v>
      </c>
      <c r="G6" s="11">
        <f t="shared" si="0"/>
        <v>6</v>
      </c>
      <c r="H6" s="11">
        <v>7.5</v>
      </c>
      <c r="I6" s="11">
        <f t="shared" si="1"/>
        <v>9</v>
      </c>
      <c r="J6" s="12">
        <f t="shared" si="2"/>
        <v>6</v>
      </c>
      <c r="K6" s="12">
        <v>7.5</v>
      </c>
      <c r="L6" s="12">
        <f t="shared" si="3"/>
        <v>9</v>
      </c>
    </row>
    <row r="7" spans="2:12" s="13" customFormat="1" ht="19.5" customHeight="1" x14ac:dyDescent="0.15">
      <c r="B7" s="8" t="s">
        <v>27</v>
      </c>
      <c r="C7" s="105"/>
      <c r="D7" s="9" t="s">
        <v>28</v>
      </c>
      <c r="E7" s="9" t="s">
        <v>26</v>
      </c>
      <c r="F7" s="10" t="s">
        <v>147</v>
      </c>
      <c r="G7" s="11">
        <f t="shared" si="0"/>
        <v>4</v>
      </c>
      <c r="H7" s="11">
        <v>5</v>
      </c>
      <c r="I7" s="11">
        <f t="shared" si="1"/>
        <v>6</v>
      </c>
      <c r="J7" s="12">
        <f t="shared" si="2"/>
        <v>4</v>
      </c>
      <c r="K7" s="12">
        <v>5</v>
      </c>
      <c r="L7" s="12">
        <f t="shared" si="3"/>
        <v>6</v>
      </c>
    </row>
    <row r="8" spans="2:12" s="13" customFormat="1" ht="19.5" customHeight="1" x14ac:dyDescent="0.15">
      <c r="B8" s="8" t="s">
        <v>29</v>
      </c>
      <c r="C8" s="106"/>
      <c r="D8" s="9" t="s">
        <v>154</v>
      </c>
      <c r="E8" s="9" t="s">
        <v>26</v>
      </c>
      <c r="F8" s="10" t="s">
        <v>155</v>
      </c>
      <c r="G8" s="11">
        <f t="shared" si="0"/>
        <v>4</v>
      </c>
      <c r="H8" s="11">
        <v>5</v>
      </c>
      <c r="I8" s="11">
        <f t="shared" si="1"/>
        <v>6</v>
      </c>
      <c r="J8" s="12">
        <f t="shared" si="2"/>
        <v>4</v>
      </c>
      <c r="K8" s="12">
        <v>5</v>
      </c>
      <c r="L8" s="12">
        <f t="shared" si="3"/>
        <v>6</v>
      </c>
    </row>
    <row r="9" spans="2:12" s="13" customFormat="1" ht="27.75" customHeight="1" x14ac:dyDescent="0.15">
      <c r="B9" s="14" t="s">
        <v>30</v>
      </c>
      <c r="C9" s="107" t="s">
        <v>31</v>
      </c>
      <c r="D9" s="15" t="s">
        <v>32</v>
      </c>
      <c r="E9" s="15" t="s">
        <v>33</v>
      </c>
      <c r="F9" s="16" t="s">
        <v>34</v>
      </c>
      <c r="G9" s="17">
        <f t="shared" si="0"/>
        <v>1.6</v>
      </c>
      <c r="H9" s="17">
        <v>2</v>
      </c>
      <c r="I9" s="17">
        <f t="shared" si="1"/>
        <v>2.4</v>
      </c>
      <c r="J9" s="18">
        <f t="shared" si="2"/>
        <v>1.6</v>
      </c>
      <c r="K9" s="18">
        <v>2</v>
      </c>
      <c r="L9" s="18">
        <f t="shared" si="3"/>
        <v>2.4</v>
      </c>
    </row>
    <row r="10" spans="2:12" s="13" customFormat="1" ht="19.5" customHeight="1" x14ac:dyDescent="0.15">
      <c r="B10" s="14" t="s">
        <v>35</v>
      </c>
      <c r="C10" s="108"/>
      <c r="D10" s="15" t="s">
        <v>36</v>
      </c>
      <c r="E10" s="15" t="s">
        <v>37</v>
      </c>
      <c r="F10" s="16" t="s">
        <v>38</v>
      </c>
      <c r="G10" s="17">
        <f t="shared" si="0"/>
        <v>6.4</v>
      </c>
      <c r="H10" s="17">
        <v>8</v>
      </c>
      <c r="I10" s="17">
        <f t="shared" si="1"/>
        <v>9.6</v>
      </c>
      <c r="J10" s="18">
        <f t="shared" si="2"/>
        <v>8</v>
      </c>
      <c r="K10" s="18">
        <v>10</v>
      </c>
      <c r="L10" s="18">
        <f t="shared" si="3"/>
        <v>12</v>
      </c>
    </row>
    <row r="11" spans="2:12" s="23" customFormat="1" ht="19.5" customHeight="1" x14ac:dyDescent="0.15">
      <c r="B11" s="8" t="s">
        <v>39</v>
      </c>
      <c r="C11" s="19" t="s">
        <v>40</v>
      </c>
      <c r="D11" s="19" t="s">
        <v>41</v>
      </c>
      <c r="E11" s="19" t="s">
        <v>26</v>
      </c>
      <c r="F11" s="20" t="s">
        <v>153</v>
      </c>
      <c r="G11" s="21">
        <f>H11*0.8</f>
        <v>32</v>
      </c>
      <c r="H11" s="21">
        <v>40</v>
      </c>
      <c r="I11" s="21">
        <f>H11*1.2</f>
        <v>48</v>
      </c>
      <c r="J11" s="22">
        <f>K11*0.8</f>
        <v>32</v>
      </c>
      <c r="K11" s="22">
        <v>40</v>
      </c>
      <c r="L11" s="22">
        <f>K11*1.2</f>
        <v>48</v>
      </c>
    </row>
    <row r="12" spans="2:12" s="13" customFormat="1" ht="19.5" customHeight="1" x14ac:dyDescent="0.15">
      <c r="B12" s="14" t="s">
        <v>42</v>
      </c>
      <c r="C12" s="15" t="s">
        <v>43</v>
      </c>
      <c r="D12" s="15" t="s">
        <v>44</v>
      </c>
      <c r="E12" s="15" t="s">
        <v>45</v>
      </c>
      <c r="F12" s="16" t="s">
        <v>46</v>
      </c>
      <c r="G12" s="24">
        <v>0.25</v>
      </c>
      <c r="H12" s="24">
        <v>0.3</v>
      </c>
      <c r="I12" s="24">
        <f>H12*1.2</f>
        <v>0.36</v>
      </c>
      <c r="J12" s="25">
        <v>0.25</v>
      </c>
      <c r="K12" s="25">
        <v>0.3</v>
      </c>
      <c r="L12" s="25">
        <f>K12*1.2</f>
        <v>0.36</v>
      </c>
    </row>
    <row r="13" spans="2:12" s="13" customFormat="1" ht="13.5" customHeight="1" x14ac:dyDescent="0.15">
      <c r="B13" s="26"/>
      <c r="F13" s="27"/>
      <c r="G13" s="27"/>
      <c r="H13" s="27"/>
      <c r="I13" s="27"/>
      <c r="J13" s="27"/>
      <c r="K13" s="27"/>
      <c r="L13" s="27"/>
    </row>
    <row r="14" spans="2:12" s="13" customFormat="1" ht="13.5" customHeight="1" x14ac:dyDescent="0.15">
      <c r="B14" s="26"/>
      <c r="F14" s="27"/>
      <c r="G14" s="27"/>
      <c r="H14" s="27"/>
      <c r="I14" s="27"/>
      <c r="J14" s="27"/>
      <c r="K14" s="27"/>
      <c r="L14" s="27"/>
    </row>
    <row r="15" spans="2:12" s="13" customFormat="1" ht="13.5" customHeight="1" x14ac:dyDescent="0.15">
      <c r="B15" s="26"/>
      <c r="F15" s="27"/>
      <c r="G15" s="27"/>
      <c r="H15" s="27"/>
      <c r="I15" s="27"/>
      <c r="J15" s="27"/>
      <c r="K15" s="27"/>
      <c r="L15" s="27"/>
    </row>
    <row r="16" spans="2:12" s="13" customFormat="1" ht="13.5" customHeight="1" x14ac:dyDescent="0.15">
      <c r="B16" s="26"/>
      <c r="F16" s="27"/>
      <c r="G16" s="27"/>
      <c r="H16" s="27"/>
      <c r="I16" s="27"/>
      <c r="J16" s="27"/>
      <c r="K16" s="27"/>
      <c r="L16" s="27"/>
    </row>
    <row r="17" spans="2:12" s="13" customFormat="1" ht="13.5" customHeight="1" x14ac:dyDescent="0.15">
      <c r="B17" s="26"/>
      <c r="F17" s="27"/>
      <c r="G17" s="27"/>
      <c r="H17" s="27"/>
      <c r="I17" s="27"/>
      <c r="J17" s="27"/>
      <c r="K17" s="27"/>
      <c r="L17" s="27"/>
    </row>
    <row r="18" spans="2:12" s="13" customFormat="1" ht="13.5" customHeight="1" x14ac:dyDescent="0.15">
      <c r="B18" s="26"/>
      <c r="F18" s="27"/>
      <c r="G18" s="27"/>
      <c r="H18" s="27"/>
      <c r="I18" s="27"/>
      <c r="J18" s="27"/>
      <c r="K18" s="27"/>
      <c r="L18" s="27"/>
    </row>
    <row r="19" spans="2:12" s="13" customFormat="1" ht="13.5" customHeight="1" x14ac:dyDescent="0.15">
      <c r="B19" s="26"/>
      <c r="F19" s="27"/>
      <c r="G19" s="27"/>
      <c r="H19" s="27"/>
      <c r="I19" s="27"/>
      <c r="J19" s="27"/>
      <c r="K19" s="27"/>
      <c r="L19" s="27"/>
    </row>
    <row r="20" spans="2:12" s="13" customFormat="1" ht="13.5" customHeight="1" x14ac:dyDescent="0.15">
      <c r="B20" s="26"/>
      <c r="F20" s="27"/>
      <c r="G20" s="27"/>
      <c r="H20" s="27"/>
      <c r="I20" s="27"/>
      <c r="J20" s="27"/>
      <c r="K20" s="27"/>
      <c r="L20" s="27"/>
    </row>
    <row r="21" spans="2:12" s="13" customFormat="1" ht="13.5" customHeight="1" x14ac:dyDescent="0.15">
      <c r="B21" s="26"/>
      <c r="F21" s="27"/>
      <c r="G21" s="27"/>
      <c r="H21" s="27"/>
      <c r="I21" s="27"/>
      <c r="J21" s="27"/>
      <c r="K21" s="27"/>
      <c r="L21" s="27"/>
    </row>
    <row r="22" spans="2:12" s="13" customFormat="1" ht="13.5" customHeight="1" x14ac:dyDescent="0.15">
      <c r="B22" s="26"/>
      <c r="F22" s="27"/>
      <c r="G22" s="27"/>
      <c r="H22" s="27"/>
      <c r="I22" s="27"/>
      <c r="J22" s="27"/>
      <c r="K22" s="27"/>
      <c r="L22" s="27"/>
    </row>
    <row r="23" spans="2:12" s="13" customFormat="1" ht="13.5" customHeight="1" x14ac:dyDescent="0.15">
      <c r="B23" s="26"/>
      <c r="F23" s="27"/>
      <c r="G23" s="27"/>
      <c r="H23" s="27"/>
      <c r="I23" s="27"/>
      <c r="J23" s="27"/>
      <c r="K23" s="27"/>
      <c r="L23" s="27"/>
    </row>
    <row r="24" spans="2:12" s="13" customFormat="1" ht="13.5" customHeight="1" x14ac:dyDescent="0.15">
      <c r="B24" s="26"/>
      <c r="F24" s="27"/>
      <c r="G24" s="27"/>
      <c r="H24" s="27"/>
      <c r="I24" s="27"/>
      <c r="J24" s="27"/>
      <c r="K24" s="27"/>
      <c r="L24" s="27"/>
    </row>
    <row r="25" spans="2:12" s="13" customFormat="1" ht="13.5" customHeight="1" x14ac:dyDescent="0.15">
      <c r="B25" s="26"/>
      <c r="F25" s="27"/>
      <c r="G25" s="27"/>
      <c r="H25" s="27"/>
      <c r="I25" s="27"/>
      <c r="J25" s="27"/>
      <c r="K25" s="27"/>
      <c r="L25" s="27"/>
    </row>
    <row r="26" spans="2:12" s="13" customFormat="1" ht="13.5" customHeight="1" x14ac:dyDescent="0.15">
      <c r="B26" s="26"/>
      <c r="F26" s="27"/>
      <c r="G26" s="27"/>
      <c r="H26" s="27"/>
      <c r="I26" s="27"/>
      <c r="J26" s="27"/>
      <c r="K26" s="27"/>
      <c r="L26" s="27"/>
    </row>
    <row r="27" spans="2:12" s="13" customFormat="1" ht="13.5" customHeight="1" x14ac:dyDescent="0.15">
      <c r="B27" s="26"/>
      <c r="F27" s="27"/>
      <c r="G27" s="27"/>
      <c r="H27" s="27"/>
      <c r="I27" s="27"/>
      <c r="J27" s="27"/>
      <c r="K27" s="27"/>
      <c r="L27" s="27"/>
    </row>
    <row r="28" spans="2:12" s="13" customFormat="1" ht="13.5" customHeight="1" x14ac:dyDescent="0.15">
      <c r="B28" s="26"/>
      <c r="F28" s="27"/>
      <c r="G28" s="27"/>
      <c r="H28" s="27"/>
      <c r="I28" s="27"/>
      <c r="J28" s="27"/>
      <c r="K28" s="27"/>
      <c r="L28" s="27"/>
    </row>
    <row r="29" spans="2:12" s="13" customFormat="1" ht="13.5" customHeight="1" x14ac:dyDescent="0.15">
      <c r="B29" s="26"/>
      <c r="F29" s="27"/>
      <c r="G29" s="27"/>
      <c r="H29" s="27"/>
      <c r="I29" s="27"/>
      <c r="J29" s="27"/>
      <c r="K29" s="27"/>
      <c r="L29" s="27"/>
    </row>
    <row r="30" spans="2:12" s="13" customFormat="1" ht="13.5" customHeight="1" x14ac:dyDescent="0.15">
      <c r="B30" s="26"/>
      <c r="F30" s="27"/>
      <c r="G30" s="27"/>
      <c r="H30" s="27"/>
      <c r="I30" s="27"/>
      <c r="J30" s="27"/>
      <c r="K30" s="27"/>
      <c r="L30" s="27"/>
    </row>
    <row r="31" spans="2:12" s="13" customFormat="1" ht="13.5" customHeight="1" x14ac:dyDescent="0.15">
      <c r="B31" s="26"/>
      <c r="F31" s="27"/>
      <c r="G31" s="27"/>
      <c r="H31" s="27"/>
      <c r="I31" s="27"/>
      <c r="J31" s="27"/>
      <c r="K31" s="27"/>
      <c r="L31" s="27"/>
    </row>
    <row r="32" spans="2:12" s="13" customFormat="1" ht="13.5" customHeight="1" x14ac:dyDescent="0.15">
      <c r="B32" s="26"/>
      <c r="F32" s="27"/>
      <c r="G32" s="27"/>
      <c r="H32" s="27"/>
      <c r="I32" s="27"/>
      <c r="J32" s="27"/>
      <c r="K32" s="27"/>
      <c r="L32" s="27"/>
    </row>
    <row r="33" spans="2:12" s="13" customFormat="1" ht="13.5" customHeight="1" x14ac:dyDescent="0.15">
      <c r="B33" s="26"/>
      <c r="F33" s="27"/>
      <c r="G33" s="27"/>
      <c r="H33" s="27"/>
      <c r="I33" s="27"/>
      <c r="J33" s="27"/>
      <c r="K33" s="27"/>
      <c r="L33" s="27"/>
    </row>
    <row r="34" spans="2:12" s="13" customFormat="1" ht="13.5" customHeight="1" x14ac:dyDescent="0.15">
      <c r="B34" s="26"/>
      <c r="F34" s="27"/>
      <c r="G34" s="27"/>
      <c r="H34" s="27"/>
      <c r="I34" s="27"/>
      <c r="J34" s="27"/>
      <c r="K34" s="27"/>
      <c r="L34" s="27"/>
    </row>
    <row r="35" spans="2:12" s="13" customFormat="1" ht="13.5" customHeight="1" x14ac:dyDescent="0.15">
      <c r="B35" s="26"/>
      <c r="F35" s="27"/>
      <c r="G35" s="27"/>
      <c r="H35" s="27"/>
      <c r="I35" s="27"/>
      <c r="J35" s="27"/>
      <c r="K35" s="27"/>
      <c r="L35" s="27"/>
    </row>
    <row r="36" spans="2:12" s="13" customFormat="1" ht="13.5" customHeight="1" x14ac:dyDescent="0.15">
      <c r="B36" s="26"/>
      <c r="F36" s="27"/>
      <c r="G36" s="27"/>
      <c r="H36" s="27"/>
      <c r="I36" s="27"/>
      <c r="J36" s="27"/>
      <c r="K36" s="27"/>
      <c r="L36" s="27"/>
    </row>
    <row r="37" spans="2:12" s="13" customFormat="1" ht="13.5" customHeight="1" x14ac:dyDescent="0.15">
      <c r="B37" s="26"/>
      <c r="F37" s="27"/>
      <c r="G37" s="27"/>
      <c r="H37" s="27"/>
      <c r="I37" s="27"/>
      <c r="J37" s="27"/>
      <c r="K37" s="27"/>
      <c r="L37" s="27"/>
    </row>
    <row r="38" spans="2:12" s="13" customFormat="1" ht="13.5" customHeight="1" x14ac:dyDescent="0.15">
      <c r="B38" s="26"/>
      <c r="F38" s="27"/>
      <c r="G38" s="27"/>
      <c r="H38" s="27"/>
      <c r="I38" s="27"/>
      <c r="J38" s="27"/>
      <c r="K38" s="27"/>
      <c r="L38" s="27"/>
    </row>
    <row r="39" spans="2:12" s="13" customFormat="1" ht="13.5" customHeight="1" x14ac:dyDescent="0.15">
      <c r="B39" s="26"/>
      <c r="F39" s="27"/>
      <c r="G39" s="27"/>
      <c r="H39" s="27"/>
      <c r="I39" s="27"/>
      <c r="J39" s="27"/>
      <c r="K39" s="27"/>
      <c r="L39" s="27"/>
    </row>
    <row r="40" spans="2:12" s="13" customFormat="1" ht="13.5" customHeight="1" x14ac:dyDescent="0.15">
      <c r="B40" s="26"/>
      <c r="F40" s="27"/>
      <c r="G40" s="27"/>
      <c r="H40" s="27"/>
      <c r="I40" s="27"/>
      <c r="J40" s="27"/>
      <c r="K40" s="27"/>
      <c r="L40" s="27"/>
    </row>
    <row r="41" spans="2:12" s="13" customFormat="1" ht="13.5" customHeight="1" x14ac:dyDescent="0.15">
      <c r="B41" s="26"/>
      <c r="F41" s="27"/>
      <c r="G41" s="27"/>
      <c r="H41" s="27"/>
      <c r="I41" s="27"/>
      <c r="J41" s="27"/>
      <c r="K41" s="27"/>
      <c r="L41" s="27"/>
    </row>
    <row r="42" spans="2:12" s="13" customFormat="1" ht="13.5" customHeight="1" x14ac:dyDescent="0.15">
      <c r="B42" s="26"/>
      <c r="F42" s="27"/>
      <c r="G42" s="27"/>
      <c r="H42" s="27"/>
      <c r="I42" s="27"/>
      <c r="J42" s="27"/>
      <c r="K42" s="27"/>
      <c r="L42" s="27"/>
    </row>
    <row r="43" spans="2:12" s="13" customFormat="1" ht="13.5" customHeight="1" x14ac:dyDescent="0.15">
      <c r="B43" s="26"/>
      <c r="F43" s="27"/>
      <c r="G43" s="27"/>
      <c r="H43" s="27"/>
      <c r="I43" s="27"/>
      <c r="J43" s="27"/>
      <c r="K43" s="27"/>
      <c r="L43" s="27"/>
    </row>
    <row r="44" spans="2:12" s="13" customFormat="1" ht="13.5" customHeight="1" x14ac:dyDescent="0.15">
      <c r="B44" s="26"/>
      <c r="F44" s="27"/>
      <c r="G44" s="27"/>
      <c r="H44" s="27"/>
      <c r="I44" s="27"/>
      <c r="J44" s="27"/>
      <c r="K44" s="27"/>
      <c r="L44" s="27"/>
    </row>
    <row r="45" spans="2:12" s="13" customFormat="1" ht="13.5" customHeight="1" x14ac:dyDescent="0.15">
      <c r="B45" s="26"/>
      <c r="F45" s="27"/>
      <c r="G45" s="27"/>
      <c r="H45" s="27"/>
      <c r="I45" s="27"/>
      <c r="J45" s="27"/>
      <c r="K45" s="27"/>
      <c r="L45" s="27"/>
    </row>
    <row r="46" spans="2:12" s="13" customFormat="1" ht="13.5" customHeight="1" x14ac:dyDescent="0.15">
      <c r="B46" s="26"/>
      <c r="F46" s="27"/>
      <c r="G46" s="27"/>
      <c r="H46" s="27"/>
      <c r="I46" s="27"/>
      <c r="J46" s="27"/>
      <c r="K46" s="27"/>
      <c r="L46" s="27"/>
    </row>
    <row r="47" spans="2:12" s="13" customFormat="1" ht="13.5" customHeight="1" x14ac:dyDescent="0.15">
      <c r="B47" s="26"/>
      <c r="F47" s="27"/>
      <c r="G47" s="27"/>
      <c r="H47" s="27"/>
      <c r="I47" s="27"/>
      <c r="J47" s="27"/>
      <c r="K47" s="27"/>
      <c r="L47" s="27"/>
    </row>
    <row r="48" spans="2:12" s="13" customFormat="1" ht="13.5" customHeight="1" x14ac:dyDescent="0.15">
      <c r="B48" s="26"/>
      <c r="F48" s="27"/>
      <c r="G48" s="27"/>
      <c r="H48" s="27"/>
      <c r="I48" s="27"/>
      <c r="J48" s="27"/>
      <c r="K48" s="27"/>
      <c r="L48" s="27"/>
    </row>
    <row r="49" spans="2:12" s="13" customFormat="1" ht="13.5" customHeight="1" x14ac:dyDescent="0.15">
      <c r="B49" s="26"/>
      <c r="F49" s="27"/>
      <c r="G49" s="27"/>
      <c r="H49" s="27"/>
      <c r="I49" s="27"/>
      <c r="J49" s="27"/>
      <c r="K49" s="27"/>
      <c r="L49" s="27"/>
    </row>
    <row r="50" spans="2:12" s="13" customFormat="1" ht="13.5" customHeight="1" x14ac:dyDescent="0.15">
      <c r="B50" s="26"/>
      <c r="F50" s="27"/>
      <c r="G50" s="27"/>
      <c r="H50" s="27"/>
      <c r="I50" s="27"/>
      <c r="J50" s="27"/>
      <c r="K50" s="27"/>
      <c r="L50" s="27"/>
    </row>
    <row r="51" spans="2:12" s="13" customFormat="1" ht="13.5" customHeight="1" x14ac:dyDescent="0.15">
      <c r="B51" s="26"/>
      <c r="F51" s="27"/>
      <c r="G51" s="27"/>
      <c r="H51" s="27"/>
      <c r="I51" s="27"/>
      <c r="J51" s="27"/>
      <c r="K51" s="27"/>
      <c r="L51" s="27"/>
    </row>
    <row r="52" spans="2:12" s="13" customFormat="1" ht="13.5" customHeight="1" x14ac:dyDescent="0.15">
      <c r="B52" s="26"/>
      <c r="F52" s="27"/>
      <c r="G52" s="27"/>
      <c r="H52" s="27"/>
      <c r="I52" s="27"/>
      <c r="J52" s="27"/>
      <c r="K52" s="27"/>
      <c r="L52" s="27"/>
    </row>
    <row r="53" spans="2:12" s="13" customFormat="1" ht="13.5" customHeight="1" x14ac:dyDescent="0.15">
      <c r="B53" s="26"/>
      <c r="F53" s="27"/>
      <c r="G53" s="27"/>
      <c r="H53" s="27"/>
      <c r="I53" s="27"/>
      <c r="J53" s="27"/>
      <c r="K53" s="27"/>
      <c r="L53" s="27"/>
    </row>
    <row r="54" spans="2:12" s="13" customFormat="1" ht="13.5" customHeight="1" x14ac:dyDescent="0.15">
      <c r="B54" s="26"/>
      <c r="F54" s="27"/>
      <c r="G54" s="27"/>
      <c r="H54" s="27"/>
      <c r="I54" s="27"/>
      <c r="J54" s="27"/>
      <c r="K54" s="27"/>
      <c r="L54" s="27"/>
    </row>
    <row r="55" spans="2:12" s="13" customFormat="1" ht="13.5" customHeight="1" x14ac:dyDescent="0.15">
      <c r="B55" s="26"/>
      <c r="F55" s="27"/>
      <c r="G55" s="27"/>
      <c r="H55" s="27"/>
      <c r="I55" s="27"/>
      <c r="J55" s="27"/>
      <c r="K55" s="27"/>
      <c r="L55" s="27"/>
    </row>
    <row r="56" spans="2:12" s="13" customFormat="1" ht="13.5" customHeight="1" x14ac:dyDescent="0.15">
      <c r="B56" s="26"/>
      <c r="F56" s="27"/>
      <c r="G56" s="27"/>
      <c r="H56" s="27"/>
      <c r="I56" s="27"/>
      <c r="J56" s="27"/>
      <c r="K56" s="27"/>
      <c r="L56" s="27"/>
    </row>
    <row r="57" spans="2:12" s="13" customFormat="1" ht="13.5" customHeight="1" x14ac:dyDescent="0.15">
      <c r="B57" s="26"/>
      <c r="F57" s="27"/>
      <c r="G57" s="27"/>
      <c r="H57" s="27"/>
      <c r="I57" s="27"/>
      <c r="J57" s="27"/>
      <c r="K57" s="27"/>
      <c r="L57" s="27"/>
    </row>
    <row r="58" spans="2:12" s="13" customFormat="1" ht="13.5" customHeight="1" x14ac:dyDescent="0.15">
      <c r="B58" s="26"/>
      <c r="F58" s="27"/>
      <c r="G58" s="27"/>
      <c r="H58" s="27"/>
      <c r="I58" s="27"/>
      <c r="J58" s="27"/>
      <c r="K58" s="27"/>
      <c r="L58" s="27"/>
    </row>
    <row r="59" spans="2:12" s="13" customFormat="1" ht="13.5" customHeight="1" x14ac:dyDescent="0.15">
      <c r="B59" s="26"/>
      <c r="F59" s="27"/>
      <c r="G59" s="27"/>
      <c r="H59" s="27"/>
      <c r="I59" s="27"/>
      <c r="J59" s="27"/>
      <c r="K59" s="27"/>
      <c r="L59" s="27"/>
    </row>
    <row r="60" spans="2:12" s="13" customFormat="1" ht="13.5" customHeight="1" x14ac:dyDescent="0.15">
      <c r="B60" s="26"/>
      <c r="F60" s="27"/>
      <c r="G60" s="27"/>
      <c r="H60" s="27"/>
      <c r="I60" s="27"/>
      <c r="J60" s="27"/>
      <c r="K60" s="27"/>
      <c r="L60" s="27"/>
    </row>
    <row r="61" spans="2:12" s="13" customFormat="1" ht="13.5" customHeight="1" x14ac:dyDescent="0.15">
      <c r="B61" s="26"/>
      <c r="F61" s="27"/>
      <c r="G61" s="27"/>
      <c r="H61" s="27"/>
      <c r="I61" s="27"/>
      <c r="J61" s="27"/>
      <c r="K61" s="27"/>
      <c r="L61" s="27"/>
    </row>
    <row r="62" spans="2:12" s="13" customFormat="1" ht="13.5" customHeight="1" x14ac:dyDescent="0.15">
      <c r="B62" s="26"/>
      <c r="F62" s="27"/>
      <c r="G62" s="27"/>
      <c r="H62" s="27"/>
      <c r="I62" s="27"/>
      <c r="J62" s="27"/>
      <c r="K62" s="27"/>
      <c r="L62" s="27"/>
    </row>
    <row r="63" spans="2:12" s="13" customFormat="1" ht="13.5" customHeight="1" x14ac:dyDescent="0.15">
      <c r="B63" s="26"/>
      <c r="F63" s="27"/>
      <c r="G63" s="27"/>
      <c r="H63" s="27"/>
      <c r="I63" s="27"/>
      <c r="J63" s="27"/>
      <c r="K63" s="27"/>
      <c r="L63" s="27"/>
    </row>
    <row r="64" spans="2:12" s="13" customFormat="1" ht="13.5" customHeight="1" x14ac:dyDescent="0.15">
      <c r="B64" s="26"/>
      <c r="F64" s="27"/>
      <c r="G64" s="27"/>
      <c r="H64" s="27"/>
      <c r="I64" s="27"/>
      <c r="J64" s="27"/>
      <c r="K64" s="27"/>
      <c r="L64" s="27"/>
    </row>
    <row r="65" spans="2:12" s="13" customFormat="1" ht="13.5" customHeight="1" x14ac:dyDescent="0.15">
      <c r="B65" s="26"/>
      <c r="F65" s="27"/>
      <c r="G65" s="27"/>
      <c r="H65" s="27"/>
      <c r="I65" s="27"/>
      <c r="J65" s="27"/>
      <c r="K65" s="27"/>
      <c r="L65" s="27"/>
    </row>
    <row r="66" spans="2:12" s="13" customFormat="1" ht="13.5" customHeight="1" x14ac:dyDescent="0.15">
      <c r="B66" s="26"/>
      <c r="F66" s="27"/>
      <c r="G66" s="27"/>
      <c r="H66" s="27"/>
      <c r="I66" s="27"/>
      <c r="J66" s="27"/>
      <c r="K66" s="27"/>
      <c r="L66" s="27"/>
    </row>
    <row r="67" spans="2:12" s="13" customFormat="1" ht="13.5" customHeight="1" x14ac:dyDescent="0.15">
      <c r="B67" s="26"/>
      <c r="F67" s="27"/>
      <c r="G67" s="27"/>
      <c r="H67" s="27"/>
      <c r="I67" s="27"/>
      <c r="J67" s="27"/>
      <c r="K67" s="27"/>
      <c r="L67" s="27"/>
    </row>
    <row r="68" spans="2:12" s="13" customFormat="1" ht="13.5" customHeight="1" x14ac:dyDescent="0.15">
      <c r="B68" s="26"/>
      <c r="F68" s="27"/>
      <c r="G68" s="27"/>
      <c r="H68" s="27"/>
      <c r="I68" s="27"/>
      <c r="J68" s="27"/>
      <c r="K68" s="27"/>
      <c r="L68" s="27"/>
    </row>
    <row r="69" spans="2:12" s="13" customFormat="1" ht="13.5" customHeight="1" x14ac:dyDescent="0.15">
      <c r="B69" s="26"/>
      <c r="F69" s="27"/>
      <c r="G69" s="27"/>
      <c r="H69" s="27"/>
      <c r="I69" s="27"/>
      <c r="J69" s="27"/>
      <c r="K69" s="27"/>
      <c r="L69" s="27"/>
    </row>
    <row r="70" spans="2:12" s="13" customFormat="1" ht="13.5" customHeight="1" x14ac:dyDescent="0.15">
      <c r="B70" s="26"/>
      <c r="F70" s="27"/>
      <c r="G70" s="27"/>
      <c r="H70" s="27"/>
      <c r="I70" s="27"/>
      <c r="J70" s="27"/>
      <c r="K70" s="27"/>
      <c r="L70" s="27"/>
    </row>
    <row r="71" spans="2:12" s="13" customFormat="1" ht="13.5" customHeight="1" x14ac:dyDescent="0.15">
      <c r="B71" s="26"/>
      <c r="F71" s="27"/>
      <c r="G71" s="27"/>
      <c r="H71" s="27"/>
      <c r="I71" s="27"/>
      <c r="J71" s="27"/>
      <c r="K71" s="27"/>
      <c r="L71" s="27"/>
    </row>
    <row r="72" spans="2:12" s="13" customFormat="1" ht="13.5" customHeight="1" x14ac:dyDescent="0.15">
      <c r="B72" s="26"/>
      <c r="F72" s="27"/>
      <c r="G72" s="27"/>
      <c r="H72" s="27"/>
      <c r="I72" s="27"/>
      <c r="J72" s="27"/>
      <c r="K72" s="27"/>
      <c r="L72" s="27"/>
    </row>
    <row r="73" spans="2:12" s="13" customFormat="1" ht="13.5" customHeight="1" x14ac:dyDescent="0.15">
      <c r="B73" s="26"/>
      <c r="F73" s="27"/>
      <c r="G73" s="27"/>
      <c r="H73" s="27"/>
      <c r="I73" s="27"/>
      <c r="J73" s="27"/>
      <c r="K73" s="27"/>
      <c r="L73" s="27"/>
    </row>
    <row r="74" spans="2:12" s="13" customFormat="1" ht="13.5" customHeight="1" x14ac:dyDescent="0.15">
      <c r="B74" s="26"/>
      <c r="F74" s="27"/>
      <c r="G74" s="27"/>
      <c r="H74" s="27"/>
      <c r="I74" s="27"/>
      <c r="J74" s="27"/>
      <c r="K74" s="27"/>
      <c r="L74" s="27"/>
    </row>
    <row r="75" spans="2:12" s="13" customFormat="1" ht="13.5" customHeight="1" x14ac:dyDescent="0.15">
      <c r="B75" s="26"/>
      <c r="F75" s="27"/>
      <c r="G75" s="27"/>
      <c r="H75" s="27"/>
      <c r="I75" s="27"/>
      <c r="J75" s="27"/>
      <c r="K75" s="27"/>
      <c r="L75" s="27"/>
    </row>
    <row r="76" spans="2:12" s="13" customFormat="1" ht="13.5" customHeight="1" x14ac:dyDescent="0.15">
      <c r="B76" s="26"/>
      <c r="F76" s="27"/>
      <c r="G76" s="27"/>
      <c r="H76" s="27"/>
      <c r="I76" s="27"/>
      <c r="J76" s="27"/>
      <c r="K76" s="27"/>
      <c r="L76" s="27"/>
    </row>
    <row r="77" spans="2:12" s="13" customFormat="1" ht="13.5" customHeight="1" x14ac:dyDescent="0.15">
      <c r="B77" s="26"/>
      <c r="F77" s="27"/>
      <c r="G77" s="27"/>
      <c r="H77" s="27"/>
      <c r="I77" s="27"/>
      <c r="J77" s="27"/>
      <c r="K77" s="27"/>
      <c r="L77" s="27"/>
    </row>
    <row r="78" spans="2:12" s="13" customFormat="1" ht="13.5" customHeight="1" x14ac:dyDescent="0.15">
      <c r="B78" s="26"/>
      <c r="F78" s="27"/>
      <c r="G78" s="27"/>
      <c r="H78" s="27"/>
      <c r="I78" s="27"/>
      <c r="J78" s="27"/>
      <c r="K78" s="27"/>
      <c r="L78" s="27"/>
    </row>
    <row r="79" spans="2:12" s="13" customFormat="1" ht="13.5" customHeight="1" x14ac:dyDescent="0.15">
      <c r="B79" s="26"/>
      <c r="F79" s="27"/>
      <c r="G79" s="27"/>
      <c r="H79" s="27"/>
      <c r="I79" s="27"/>
      <c r="J79" s="27"/>
      <c r="K79" s="27"/>
      <c r="L79" s="27"/>
    </row>
    <row r="80" spans="2:12" s="13" customFormat="1" ht="13.5" customHeight="1" x14ac:dyDescent="0.15">
      <c r="B80" s="26"/>
      <c r="F80" s="27"/>
      <c r="G80" s="27"/>
      <c r="H80" s="27"/>
      <c r="I80" s="27"/>
      <c r="J80" s="27"/>
      <c r="K80" s="27"/>
      <c r="L80" s="27"/>
    </row>
    <row r="81" spans="2:12" s="13" customFormat="1" ht="13.5" customHeight="1" x14ac:dyDescent="0.15">
      <c r="B81" s="26"/>
      <c r="F81" s="27"/>
      <c r="G81" s="27"/>
      <c r="H81" s="27"/>
      <c r="I81" s="27"/>
      <c r="J81" s="27"/>
      <c r="K81" s="27"/>
      <c r="L81" s="27"/>
    </row>
    <row r="82" spans="2:12" s="13" customFormat="1" ht="13.5" customHeight="1" x14ac:dyDescent="0.15">
      <c r="B82" s="26"/>
      <c r="F82" s="27"/>
      <c r="G82" s="27"/>
      <c r="H82" s="27"/>
      <c r="I82" s="27"/>
      <c r="J82" s="27"/>
      <c r="K82" s="27"/>
      <c r="L82" s="27"/>
    </row>
    <row r="83" spans="2:12" s="13" customFormat="1" ht="13.5" customHeight="1" x14ac:dyDescent="0.15">
      <c r="B83" s="26"/>
      <c r="F83" s="27"/>
      <c r="G83" s="27"/>
      <c r="H83" s="27"/>
      <c r="I83" s="27"/>
      <c r="J83" s="27"/>
      <c r="K83" s="27"/>
      <c r="L83" s="27"/>
    </row>
    <row r="84" spans="2:12" s="13" customFormat="1" ht="13.5" customHeight="1" x14ac:dyDescent="0.15">
      <c r="B84" s="26"/>
      <c r="F84" s="27"/>
      <c r="G84" s="27"/>
      <c r="H84" s="27"/>
      <c r="I84" s="27"/>
      <c r="J84" s="27"/>
      <c r="K84" s="27"/>
      <c r="L84" s="27"/>
    </row>
    <row r="85" spans="2:12" s="13" customFormat="1" ht="13.5" customHeight="1" x14ac:dyDescent="0.15">
      <c r="B85" s="26"/>
      <c r="F85" s="27"/>
      <c r="G85" s="27"/>
      <c r="H85" s="27"/>
      <c r="I85" s="27"/>
      <c r="J85" s="27"/>
      <c r="K85" s="27"/>
      <c r="L85" s="27"/>
    </row>
    <row r="86" spans="2:12" s="13" customFormat="1" ht="13.5" customHeight="1" x14ac:dyDescent="0.15">
      <c r="B86" s="26"/>
      <c r="F86" s="27"/>
      <c r="G86" s="27"/>
      <c r="H86" s="27"/>
      <c r="I86" s="27"/>
      <c r="J86" s="27"/>
      <c r="K86" s="27"/>
      <c r="L86" s="27"/>
    </row>
    <row r="87" spans="2:12" s="13" customFormat="1" ht="13.5" customHeight="1" x14ac:dyDescent="0.15">
      <c r="B87" s="26"/>
      <c r="F87" s="27"/>
      <c r="G87" s="27"/>
      <c r="H87" s="27"/>
      <c r="I87" s="27"/>
      <c r="J87" s="27"/>
      <c r="K87" s="27"/>
      <c r="L87" s="27"/>
    </row>
    <row r="88" spans="2:12" s="13" customFormat="1" ht="13.5" customHeight="1" x14ac:dyDescent="0.15">
      <c r="B88" s="26"/>
      <c r="F88" s="27"/>
      <c r="G88" s="27"/>
      <c r="H88" s="27"/>
      <c r="I88" s="27"/>
      <c r="J88" s="27"/>
      <c r="K88" s="27"/>
      <c r="L88" s="27"/>
    </row>
    <row r="89" spans="2:12" s="13" customFormat="1" ht="13.5" customHeight="1" x14ac:dyDescent="0.15">
      <c r="B89" s="26"/>
      <c r="F89" s="27"/>
      <c r="G89" s="27"/>
      <c r="H89" s="27"/>
      <c r="I89" s="27"/>
      <c r="J89" s="27"/>
      <c r="K89" s="27"/>
      <c r="L89" s="27"/>
    </row>
    <row r="90" spans="2:12" s="13" customFormat="1" ht="13.5" customHeight="1" x14ac:dyDescent="0.15">
      <c r="B90" s="26"/>
      <c r="F90" s="27"/>
      <c r="G90" s="27"/>
      <c r="H90" s="27"/>
      <c r="I90" s="27"/>
      <c r="J90" s="27"/>
      <c r="K90" s="27"/>
      <c r="L90" s="27"/>
    </row>
    <row r="91" spans="2:12" s="13" customFormat="1" ht="13.5" customHeight="1" x14ac:dyDescent="0.15">
      <c r="B91" s="26"/>
      <c r="F91" s="27"/>
      <c r="G91" s="27"/>
      <c r="H91" s="27"/>
      <c r="I91" s="27"/>
      <c r="J91" s="27"/>
      <c r="K91" s="27"/>
      <c r="L91" s="27"/>
    </row>
    <row r="92" spans="2:12" s="13" customFormat="1" ht="13.5" customHeight="1" x14ac:dyDescent="0.15">
      <c r="B92" s="26"/>
      <c r="F92" s="27"/>
      <c r="G92" s="27"/>
      <c r="H92" s="27"/>
      <c r="I92" s="27"/>
      <c r="J92" s="27"/>
      <c r="K92" s="27"/>
      <c r="L92" s="27"/>
    </row>
    <row r="93" spans="2:12" s="13" customFormat="1" ht="13.5" customHeight="1" x14ac:dyDescent="0.15">
      <c r="B93" s="26"/>
      <c r="F93" s="27"/>
      <c r="G93" s="27"/>
      <c r="H93" s="27"/>
      <c r="I93" s="27"/>
      <c r="J93" s="27"/>
      <c r="K93" s="27"/>
      <c r="L93" s="27"/>
    </row>
    <row r="94" spans="2:12" s="13" customFormat="1" ht="13.5" customHeight="1" x14ac:dyDescent="0.15">
      <c r="B94" s="26"/>
      <c r="F94" s="27"/>
      <c r="G94" s="27"/>
      <c r="H94" s="27"/>
      <c r="I94" s="27"/>
      <c r="J94" s="27"/>
      <c r="K94" s="27"/>
      <c r="L94" s="27"/>
    </row>
    <row r="95" spans="2:12" s="13" customFormat="1" ht="13.5" customHeight="1" x14ac:dyDescent="0.15">
      <c r="B95" s="26"/>
      <c r="F95" s="27"/>
      <c r="G95" s="27"/>
      <c r="H95" s="27"/>
      <c r="I95" s="27"/>
      <c r="J95" s="27"/>
      <c r="K95" s="27"/>
      <c r="L95" s="27"/>
    </row>
    <row r="96" spans="2:12" s="29" customFormat="1" ht="13.5" customHeight="1" x14ac:dyDescent="0.15">
      <c r="B96" s="28"/>
      <c r="F96" s="30"/>
      <c r="G96" s="30"/>
      <c r="H96" s="30"/>
      <c r="I96" s="30"/>
      <c r="J96" s="30"/>
      <c r="K96" s="30"/>
      <c r="L96" s="30"/>
    </row>
    <row r="97" spans="2:12" s="29" customFormat="1" ht="13.5" customHeight="1" x14ac:dyDescent="0.15">
      <c r="B97" s="28"/>
      <c r="F97" s="30"/>
      <c r="G97" s="30"/>
      <c r="H97" s="30"/>
      <c r="I97" s="30"/>
      <c r="J97" s="30"/>
      <c r="K97" s="30"/>
      <c r="L97" s="30"/>
    </row>
    <row r="98" spans="2:12" s="29" customFormat="1" ht="13.5" customHeight="1" x14ac:dyDescent="0.15">
      <c r="B98" s="28"/>
      <c r="F98" s="30"/>
      <c r="G98" s="30"/>
      <c r="H98" s="30"/>
      <c r="I98" s="30"/>
      <c r="J98" s="30"/>
      <c r="K98" s="30"/>
      <c r="L98" s="30"/>
    </row>
    <row r="99" spans="2:12" s="29" customFormat="1" ht="13.5" customHeight="1" x14ac:dyDescent="0.15">
      <c r="B99" s="28"/>
      <c r="F99" s="30"/>
      <c r="G99" s="30"/>
      <c r="H99" s="30"/>
      <c r="I99" s="30"/>
      <c r="J99" s="30"/>
      <c r="K99" s="30"/>
      <c r="L99" s="30"/>
    </row>
    <row r="100" spans="2:12" s="29" customFormat="1" ht="13.5" customHeight="1" x14ac:dyDescent="0.15">
      <c r="B100" s="28"/>
      <c r="F100" s="30"/>
      <c r="G100" s="30"/>
      <c r="H100" s="30"/>
      <c r="I100" s="30"/>
      <c r="J100" s="30"/>
      <c r="K100" s="30"/>
      <c r="L100" s="30"/>
    </row>
    <row r="101" spans="2:12" s="29" customFormat="1" ht="13.5" customHeight="1" x14ac:dyDescent="0.15">
      <c r="B101" s="28"/>
      <c r="F101" s="30"/>
      <c r="G101" s="30"/>
      <c r="H101" s="30"/>
      <c r="I101" s="30"/>
      <c r="J101" s="30"/>
      <c r="K101" s="30"/>
      <c r="L101" s="30"/>
    </row>
    <row r="102" spans="2:12" s="29" customFormat="1" ht="13.5" customHeight="1" x14ac:dyDescent="0.15">
      <c r="B102" s="28"/>
      <c r="F102" s="30"/>
      <c r="G102" s="30"/>
      <c r="H102" s="30"/>
      <c r="I102" s="30"/>
      <c r="J102" s="30"/>
      <c r="K102" s="30"/>
      <c r="L102" s="30"/>
    </row>
    <row r="103" spans="2:12" s="29" customFormat="1" ht="13.5" customHeight="1" x14ac:dyDescent="0.15">
      <c r="B103" s="28"/>
      <c r="F103" s="30"/>
      <c r="G103" s="30"/>
      <c r="H103" s="30"/>
      <c r="I103" s="30"/>
      <c r="J103" s="30"/>
      <c r="K103" s="30"/>
      <c r="L103" s="30"/>
    </row>
    <row r="104" spans="2:12" s="29" customFormat="1" ht="13.5" customHeight="1" x14ac:dyDescent="0.15">
      <c r="B104" s="28"/>
      <c r="F104" s="30"/>
      <c r="G104" s="30"/>
      <c r="H104" s="30"/>
      <c r="I104" s="30"/>
      <c r="J104" s="30"/>
      <c r="K104" s="30"/>
      <c r="L104" s="30"/>
    </row>
    <row r="105" spans="2:12" s="29" customFormat="1" ht="13.5" customHeight="1" x14ac:dyDescent="0.15">
      <c r="B105" s="28"/>
      <c r="F105" s="30"/>
      <c r="G105" s="30"/>
      <c r="H105" s="30"/>
      <c r="I105" s="30"/>
      <c r="J105" s="30"/>
      <c r="K105" s="30"/>
      <c r="L105" s="30"/>
    </row>
    <row r="106" spans="2:12" s="29" customFormat="1" ht="13.5" customHeight="1" x14ac:dyDescent="0.15">
      <c r="B106" s="28"/>
      <c r="F106" s="30"/>
      <c r="G106" s="30"/>
      <c r="H106" s="30"/>
      <c r="I106" s="30"/>
      <c r="J106" s="30"/>
      <c r="K106" s="30"/>
      <c r="L106" s="30"/>
    </row>
    <row r="107" spans="2:12" s="29" customFormat="1" ht="13.5" customHeight="1" x14ac:dyDescent="0.15">
      <c r="B107" s="28"/>
      <c r="F107" s="30"/>
      <c r="G107" s="30"/>
      <c r="H107" s="30"/>
      <c r="I107" s="30"/>
      <c r="J107" s="30"/>
      <c r="K107" s="30"/>
      <c r="L107" s="30"/>
    </row>
    <row r="108" spans="2:12" s="29" customFormat="1" ht="13.5" customHeight="1" x14ac:dyDescent="0.15">
      <c r="B108" s="28"/>
      <c r="F108" s="30"/>
      <c r="G108" s="30"/>
      <c r="H108" s="30"/>
      <c r="I108" s="30"/>
      <c r="J108" s="30"/>
      <c r="K108" s="30"/>
      <c r="L108" s="30"/>
    </row>
    <row r="109" spans="2:12" s="29" customFormat="1" ht="13.5" customHeight="1" x14ac:dyDescent="0.15">
      <c r="B109" s="28"/>
      <c r="F109" s="30"/>
      <c r="G109" s="30"/>
      <c r="H109" s="30"/>
      <c r="I109" s="30"/>
      <c r="J109" s="30"/>
      <c r="K109" s="30"/>
      <c r="L109" s="30"/>
    </row>
    <row r="110" spans="2:12" s="29" customFormat="1" ht="13.5" customHeight="1" x14ac:dyDescent="0.15">
      <c r="B110" s="28"/>
      <c r="F110" s="30"/>
      <c r="G110" s="30"/>
      <c r="H110" s="30"/>
      <c r="I110" s="30"/>
      <c r="J110" s="30"/>
      <c r="K110" s="30"/>
      <c r="L110" s="30"/>
    </row>
    <row r="111" spans="2:12" s="29" customFormat="1" ht="13.5" customHeight="1" x14ac:dyDescent="0.15">
      <c r="B111" s="28"/>
      <c r="F111" s="30"/>
      <c r="G111" s="30"/>
      <c r="H111" s="30"/>
      <c r="I111" s="30"/>
      <c r="J111" s="30"/>
      <c r="K111" s="30"/>
      <c r="L111" s="30"/>
    </row>
    <row r="112" spans="2:12" s="29" customFormat="1" ht="13.5" customHeight="1" x14ac:dyDescent="0.15">
      <c r="B112" s="28"/>
      <c r="F112" s="30"/>
      <c r="G112" s="30"/>
      <c r="H112" s="30"/>
      <c r="I112" s="30"/>
      <c r="J112" s="30"/>
      <c r="K112" s="30"/>
      <c r="L112" s="30"/>
    </row>
    <row r="113" spans="2:12" s="29" customFormat="1" ht="13.5" customHeight="1" x14ac:dyDescent="0.15">
      <c r="B113" s="28"/>
      <c r="F113" s="30"/>
      <c r="G113" s="30"/>
      <c r="H113" s="30"/>
      <c r="I113" s="30"/>
      <c r="J113" s="30"/>
      <c r="K113" s="30"/>
      <c r="L113" s="30"/>
    </row>
    <row r="114" spans="2:12" s="29" customFormat="1" ht="13.5" customHeight="1" x14ac:dyDescent="0.15">
      <c r="B114" s="28"/>
      <c r="F114" s="30"/>
      <c r="G114" s="30"/>
      <c r="H114" s="30"/>
      <c r="I114" s="30"/>
      <c r="J114" s="30"/>
      <c r="K114" s="30"/>
      <c r="L114" s="30"/>
    </row>
    <row r="115" spans="2:12" s="29" customFormat="1" ht="13.5" customHeight="1" x14ac:dyDescent="0.15">
      <c r="B115" s="28"/>
      <c r="F115" s="30"/>
      <c r="G115" s="30"/>
      <c r="H115" s="30"/>
      <c r="I115" s="30"/>
      <c r="J115" s="30"/>
      <c r="K115" s="30"/>
      <c r="L115" s="30"/>
    </row>
    <row r="116" spans="2:12" s="29" customFormat="1" ht="13.5" customHeight="1" x14ac:dyDescent="0.15">
      <c r="B116" s="28"/>
      <c r="F116" s="30"/>
      <c r="G116" s="30"/>
      <c r="H116" s="30"/>
      <c r="I116" s="30"/>
      <c r="J116" s="30"/>
      <c r="K116" s="30"/>
      <c r="L116" s="30"/>
    </row>
    <row r="117" spans="2:12" s="29" customFormat="1" ht="13.5" customHeight="1" x14ac:dyDescent="0.15">
      <c r="B117" s="28"/>
      <c r="F117" s="30"/>
      <c r="G117" s="30"/>
      <c r="H117" s="30"/>
      <c r="I117" s="30"/>
      <c r="J117" s="30"/>
      <c r="K117" s="30"/>
      <c r="L117" s="30"/>
    </row>
    <row r="118" spans="2:12" s="29" customFormat="1" ht="13.5" customHeight="1" x14ac:dyDescent="0.15">
      <c r="B118" s="28"/>
      <c r="F118" s="30"/>
      <c r="G118" s="30"/>
      <c r="H118" s="30"/>
      <c r="I118" s="30"/>
      <c r="J118" s="30"/>
      <c r="K118" s="30"/>
      <c r="L118" s="30"/>
    </row>
    <row r="119" spans="2:12" s="29" customFormat="1" ht="13.5" customHeight="1" x14ac:dyDescent="0.15">
      <c r="B119" s="28"/>
      <c r="F119" s="30"/>
      <c r="G119" s="30"/>
      <c r="H119" s="30"/>
      <c r="I119" s="30"/>
      <c r="J119" s="30"/>
      <c r="K119" s="30"/>
      <c r="L119" s="30"/>
    </row>
    <row r="120" spans="2:12" s="29" customFormat="1" ht="13.5" customHeight="1" x14ac:dyDescent="0.15">
      <c r="B120" s="28"/>
      <c r="F120" s="30"/>
      <c r="G120" s="30"/>
      <c r="H120" s="30"/>
      <c r="I120" s="30"/>
      <c r="J120" s="30"/>
      <c r="K120" s="30"/>
      <c r="L120" s="30"/>
    </row>
    <row r="121" spans="2:12" s="29" customFormat="1" ht="13.5" customHeight="1" x14ac:dyDescent="0.15">
      <c r="B121" s="28"/>
      <c r="F121" s="30"/>
      <c r="G121" s="30"/>
      <c r="H121" s="30"/>
      <c r="I121" s="30"/>
      <c r="J121" s="30"/>
      <c r="K121" s="30"/>
      <c r="L121" s="30"/>
    </row>
    <row r="122" spans="2:12" s="29" customFormat="1" ht="13.5" customHeight="1" x14ac:dyDescent="0.15">
      <c r="B122" s="28"/>
      <c r="F122" s="30"/>
      <c r="G122" s="30"/>
      <c r="H122" s="30"/>
      <c r="I122" s="30"/>
      <c r="J122" s="30"/>
      <c r="K122" s="30"/>
      <c r="L122" s="30"/>
    </row>
    <row r="123" spans="2:12" s="29" customFormat="1" ht="13.5" customHeight="1" x14ac:dyDescent="0.15">
      <c r="B123" s="28"/>
      <c r="F123" s="30"/>
      <c r="G123" s="30"/>
      <c r="H123" s="30"/>
      <c r="I123" s="30"/>
      <c r="J123" s="30"/>
      <c r="K123" s="30"/>
      <c r="L123" s="30"/>
    </row>
    <row r="124" spans="2:12" s="29" customFormat="1" ht="13.5" customHeight="1" x14ac:dyDescent="0.15">
      <c r="B124" s="28"/>
      <c r="F124" s="30"/>
      <c r="G124" s="30"/>
      <c r="H124" s="30"/>
      <c r="I124" s="30"/>
      <c r="J124" s="30"/>
      <c r="K124" s="30"/>
      <c r="L124" s="30"/>
    </row>
    <row r="125" spans="2:12" s="29" customFormat="1" ht="13.5" customHeight="1" x14ac:dyDescent="0.15">
      <c r="B125" s="28"/>
      <c r="F125" s="30"/>
      <c r="G125" s="30"/>
      <c r="H125" s="30"/>
      <c r="I125" s="30"/>
      <c r="J125" s="30"/>
      <c r="K125" s="30"/>
      <c r="L125" s="30"/>
    </row>
    <row r="126" spans="2:12" s="29" customFormat="1" ht="13.5" customHeight="1" x14ac:dyDescent="0.15">
      <c r="B126" s="28"/>
      <c r="F126" s="30"/>
      <c r="G126" s="30"/>
      <c r="H126" s="30"/>
      <c r="I126" s="30"/>
      <c r="J126" s="30"/>
      <c r="K126" s="30"/>
      <c r="L126" s="30"/>
    </row>
    <row r="127" spans="2:12" s="29" customFormat="1" ht="13.5" customHeight="1" x14ac:dyDescent="0.15">
      <c r="B127" s="28"/>
      <c r="F127" s="30"/>
      <c r="G127" s="30"/>
      <c r="H127" s="30"/>
      <c r="I127" s="30"/>
      <c r="J127" s="30"/>
      <c r="K127" s="30"/>
      <c r="L127" s="30"/>
    </row>
    <row r="128" spans="2:12" s="29" customFormat="1" ht="13.5" customHeight="1" x14ac:dyDescent="0.15">
      <c r="B128" s="28"/>
      <c r="F128" s="30"/>
      <c r="G128" s="30"/>
      <c r="H128" s="30"/>
      <c r="I128" s="30"/>
      <c r="J128" s="30"/>
      <c r="K128" s="30"/>
      <c r="L128" s="30"/>
    </row>
    <row r="129" spans="2:12" s="29" customFormat="1" ht="13.5" customHeight="1" x14ac:dyDescent="0.15">
      <c r="B129" s="28"/>
      <c r="F129" s="30"/>
      <c r="G129" s="30"/>
      <c r="H129" s="30"/>
      <c r="I129" s="30"/>
      <c r="J129" s="30"/>
      <c r="K129" s="30"/>
      <c r="L129" s="30"/>
    </row>
    <row r="130" spans="2:12" s="29" customFormat="1" ht="13.5" customHeight="1" x14ac:dyDescent="0.15">
      <c r="B130" s="28"/>
      <c r="F130" s="30"/>
      <c r="G130" s="30"/>
      <c r="H130" s="30"/>
      <c r="I130" s="30"/>
      <c r="J130" s="30"/>
      <c r="K130" s="30"/>
      <c r="L130" s="30"/>
    </row>
    <row r="131" spans="2:12" s="29" customFormat="1" ht="13.5" customHeight="1" x14ac:dyDescent="0.15">
      <c r="B131" s="28"/>
      <c r="F131" s="30"/>
      <c r="G131" s="30"/>
      <c r="H131" s="30"/>
      <c r="I131" s="30"/>
      <c r="J131" s="30"/>
      <c r="K131" s="30"/>
      <c r="L131" s="30"/>
    </row>
    <row r="132" spans="2:12" s="29" customFormat="1" ht="13.5" customHeight="1" x14ac:dyDescent="0.15">
      <c r="B132" s="28"/>
      <c r="F132" s="30"/>
      <c r="G132" s="30"/>
      <c r="H132" s="30"/>
      <c r="I132" s="30"/>
      <c r="J132" s="30"/>
      <c r="K132" s="30"/>
      <c r="L132" s="30"/>
    </row>
    <row r="133" spans="2:12" s="29" customFormat="1" ht="13.5" customHeight="1" x14ac:dyDescent="0.15">
      <c r="B133" s="28"/>
      <c r="F133" s="30"/>
      <c r="G133" s="30"/>
      <c r="H133" s="30"/>
      <c r="I133" s="30"/>
      <c r="J133" s="30"/>
      <c r="K133" s="30"/>
      <c r="L133" s="30"/>
    </row>
    <row r="134" spans="2:12" s="29" customFormat="1" ht="13.5" customHeight="1" x14ac:dyDescent="0.15">
      <c r="B134" s="28"/>
      <c r="F134" s="30"/>
      <c r="G134" s="30"/>
      <c r="H134" s="30"/>
      <c r="I134" s="30"/>
      <c r="J134" s="30"/>
      <c r="K134" s="30"/>
      <c r="L134" s="30"/>
    </row>
    <row r="135" spans="2:12" s="29" customFormat="1" ht="13.5" customHeight="1" x14ac:dyDescent="0.15">
      <c r="B135" s="28"/>
      <c r="F135" s="30"/>
      <c r="G135" s="30"/>
      <c r="H135" s="30"/>
      <c r="I135" s="30"/>
      <c r="J135" s="30"/>
      <c r="K135" s="30"/>
      <c r="L135" s="30"/>
    </row>
    <row r="136" spans="2:12" s="29" customFormat="1" ht="13.5" customHeight="1" x14ac:dyDescent="0.15">
      <c r="B136" s="28"/>
      <c r="F136" s="30"/>
      <c r="G136" s="30"/>
      <c r="H136" s="30"/>
      <c r="I136" s="30"/>
      <c r="J136" s="30"/>
      <c r="K136" s="30"/>
      <c r="L136" s="30"/>
    </row>
    <row r="137" spans="2:12" s="29" customFormat="1" ht="13.5" customHeight="1" x14ac:dyDescent="0.15">
      <c r="B137" s="28"/>
      <c r="F137" s="30"/>
      <c r="G137" s="30"/>
      <c r="H137" s="30"/>
      <c r="I137" s="30"/>
      <c r="J137" s="30"/>
      <c r="K137" s="30"/>
      <c r="L137" s="30"/>
    </row>
    <row r="138" spans="2:12" s="29" customFormat="1" ht="13.5" customHeight="1" x14ac:dyDescent="0.15">
      <c r="B138" s="28"/>
      <c r="F138" s="30"/>
      <c r="G138" s="30"/>
      <c r="H138" s="30"/>
      <c r="I138" s="30"/>
      <c r="J138" s="30"/>
      <c r="K138" s="30"/>
      <c r="L138" s="30"/>
    </row>
    <row r="139" spans="2:12" s="29" customFormat="1" ht="13.5" customHeight="1" x14ac:dyDescent="0.15">
      <c r="B139" s="28"/>
      <c r="F139" s="30"/>
      <c r="G139" s="30"/>
      <c r="H139" s="30"/>
      <c r="I139" s="30"/>
      <c r="J139" s="30"/>
      <c r="K139" s="30"/>
      <c r="L139" s="30"/>
    </row>
    <row r="140" spans="2:12" s="29" customFormat="1" ht="13.5" customHeight="1" x14ac:dyDescent="0.15">
      <c r="B140" s="28"/>
      <c r="F140" s="30"/>
      <c r="G140" s="30"/>
      <c r="H140" s="30"/>
      <c r="I140" s="30"/>
      <c r="J140" s="30"/>
      <c r="K140" s="30"/>
      <c r="L140" s="30"/>
    </row>
    <row r="141" spans="2:12" s="29" customFormat="1" ht="13.5" customHeight="1" x14ac:dyDescent="0.15">
      <c r="B141" s="28"/>
      <c r="F141" s="30"/>
      <c r="G141" s="30"/>
      <c r="H141" s="30"/>
      <c r="I141" s="30"/>
      <c r="J141" s="30"/>
      <c r="K141" s="30"/>
      <c r="L141" s="30"/>
    </row>
    <row r="142" spans="2:12" s="29" customFormat="1" ht="13.5" customHeight="1" x14ac:dyDescent="0.15">
      <c r="B142" s="28"/>
      <c r="F142" s="30"/>
      <c r="G142" s="30"/>
      <c r="H142" s="30"/>
      <c r="I142" s="30"/>
      <c r="J142" s="30"/>
      <c r="K142" s="30"/>
      <c r="L142" s="30"/>
    </row>
    <row r="143" spans="2:12" s="29" customFormat="1" ht="13.5" customHeight="1" x14ac:dyDescent="0.15">
      <c r="B143" s="28"/>
      <c r="F143" s="30"/>
      <c r="G143" s="30"/>
      <c r="H143" s="30"/>
      <c r="I143" s="30"/>
      <c r="J143" s="30"/>
      <c r="K143" s="30"/>
      <c r="L143" s="30"/>
    </row>
    <row r="144" spans="2:12" s="29" customFormat="1" ht="13.5" customHeight="1" x14ac:dyDescent="0.15">
      <c r="B144" s="28"/>
      <c r="F144" s="30"/>
      <c r="G144" s="30"/>
      <c r="H144" s="30"/>
      <c r="I144" s="30"/>
      <c r="J144" s="30"/>
      <c r="K144" s="30"/>
      <c r="L144" s="30"/>
    </row>
    <row r="145" spans="2:12" s="29" customFormat="1" ht="13.5" customHeight="1" x14ac:dyDescent="0.15">
      <c r="B145" s="28"/>
      <c r="F145" s="30"/>
      <c r="G145" s="30"/>
      <c r="H145" s="30"/>
      <c r="I145" s="30"/>
      <c r="J145" s="30"/>
      <c r="K145" s="30"/>
      <c r="L145" s="30"/>
    </row>
    <row r="146" spans="2:12" s="29" customFormat="1" ht="13.5" customHeight="1" x14ac:dyDescent="0.15">
      <c r="B146" s="28"/>
      <c r="F146" s="30"/>
      <c r="G146" s="30"/>
      <c r="H146" s="30"/>
      <c r="I146" s="30"/>
      <c r="J146" s="30"/>
      <c r="K146" s="30"/>
      <c r="L146" s="30"/>
    </row>
    <row r="147" spans="2:12" s="29" customFormat="1" ht="13.5" customHeight="1" x14ac:dyDescent="0.15">
      <c r="B147" s="28"/>
      <c r="F147" s="30"/>
      <c r="G147" s="30"/>
      <c r="H147" s="30"/>
      <c r="I147" s="30"/>
      <c r="J147" s="30"/>
      <c r="K147" s="30"/>
      <c r="L147" s="30"/>
    </row>
    <row r="148" spans="2:12" s="29" customFormat="1" ht="13.5" customHeight="1" x14ac:dyDescent="0.15">
      <c r="B148" s="28"/>
      <c r="F148" s="30"/>
      <c r="G148" s="30"/>
      <c r="H148" s="30"/>
      <c r="I148" s="30"/>
      <c r="J148" s="30"/>
      <c r="K148" s="30"/>
      <c r="L148" s="30"/>
    </row>
    <row r="149" spans="2:12" s="29" customFormat="1" ht="13.5" customHeight="1" x14ac:dyDescent="0.15">
      <c r="B149" s="28"/>
      <c r="F149" s="30"/>
      <c r="G149" s="30"/>
      <c r="H149" s="30"/>
      <c r="I149" s="30"/>
      <c r="J149" s="30"/>
      <c r="K149" s="30"/>
      <c r="L149" s="30"/>
    </row>
    <row r="150" spans="2:12" s="29" customFormat="1" ht="13.5" customHeight="1" x14ac:dyDescent="0.15">
      <c r="B150" s="28"/>
      <c r="F150" s="30"/>
      <c r="G150" s="30"/>
      <c r="H150" s="30"/>
      <c r="I150" s="30"/>
      <c r="J150" s="30"/>
      <c r="K150" s="30"/>
      <c r="L150" s="30"/>
    </row>
    <row r="151" spans="2:12" s="29" customFormat="1" ht="13.5" customHeight="1" x14ac:dyDescent="0.15">
      <c r="B151" s="28"/>
      <c r="F151" s="30"/>
      <c r="G151" s="30"/>
      <c r="H151" s="30"/>
      <c r="I151" s="30"/>
      <c r="J151" s="30"/>
      <c r="K151" s="30"/>
      <c r="L151" s="30"/>
    </row>
    <row r="152" spans="2:12" s="29" customFormat="1" ht="13.5" customHeight="1" x14ac:dyDescent="0.15">
      <c r="B152" s="28"/>
      <c r="F152" s="30"/>
      <c r="G152" s="30"/>
      <c r="H152" s="30"/>
      <c r="I152" s="30"/>
      <c r="J152" s="30"/>
      <c r="K152" s="30"/>
      <c r="L152" s="30"/>
    </row>
    <row r="153" spans="2:12" s="29" customFormat="1" ht="13.5" customHeight="1" x14ac:dyDescent="0.15">
      <c r="B153" s="28"/>
      <c r="F153" s="30"/>
      <c r="G153" s="30"/>
      <c r="H153" s="30"/>
      <c r="I153" s="30"/>
      <c r="J153" s="30"/>
      <c r="K153" s="30"/>
      <c r="L153" s="30"/>
    </row>
    <row r="154" spans="2:12" s="29" customFormat="1" ht="13.5" customHeight="1" x14ac:dyDescent="0.15">
      <c r="B154" s="28"/>
      <c r="F154" s="30"/>
      <c r="G154" s="30"/>
      <c r="H154" s="30"/>
      <c r="I154" s="30"/>
      <c r="J154" s="30"/>
      <c r="K154" s="30"/>
      <c r="L154" s="30"/>
    </row>
    <row r="155" spans="2:12" s="29" customFormat="1" ht="13.5" customHeight="1" x14ac:dyDescent="0.15">
      <c r="B155" s="28"/>
      <c r="F155" s="30"/>
      <c r="G155" s="30"/>
      <c r="H155" s="30"/>
      <c r="I155" s="30"/>
      <c r="J155" s="30"/>
      <c r="K155" s="30"/>
      <c r="L155" s="30"/>
    </row>
    <row r="156" spans="2:12" s="29" customFormat="1" ht="13.5" customHeight="1" x14ac:dyDescent="0.15">
      <c r="B156" s="28"/>
      <c r="F156" s="30"/>
      <c r="G156" s="30"/>
      <c r="H156" s="30"/>
      <c r="I156" s="30"/>
      <c r="J156" s="30"/>
      <c r="K156" s="30"/>
      <c r="L156" s="30"/>
    </row>
    <row r="157" spans="2:12" s="29" customFormat="1" ht="13.5" customHeight="1" x14ac:dyDescent="0.15">
      <c r="B157" s="28"/>
      <c r="F157" s="30"/>
      <c r="G157" s="30"/>
      <c r="H157" s="30"/>
      <c r="I157" s="30"/>
      <c r="J157" s="30"/>
      <c r="K157" s="30"/>
      <c r="L157" s="30"/>
    </row>
    <row r="158" spans="2:12" s="29" customFormat="1" ht="13.5" customHeight="1" x14ac:dyDescent="0.15">
      <c r="B158" s="28"/>
      <c r="F158" s="30"/>
      <c r="G158" s="30"/>
      <c r="H158" s="30"/>
      <c r="I158" s="30"/>
      <c r="J158" s="30"/>
      <c r="K158" s="30"/>
      <c r="L158" s="30"/>
    </row>
    <row r="159" spans="2:12" s="29" customFormat="1" ht="13.5" customHeight="1" x14ac:dyDescent="0.15">
      <c r="B159" s="28"/>
      <c r="F159" s="30"/>
      <c r="G159" s="30"/>
      <c r="H159" s="30"/>
      <c r="I159" s="30"/>
      <c r="J159" s="30"/>
      <c r="K159" s="30"/>
      <c r="L159" s="30"/>
    </row>
    <row r="160" spans="2:12" s="29" customFormat="1" ht="13.5" customHeight="1" x14ac:dyDescent="0.15">
      <c r="B160" s="28"/>
      <c r="F160" s="30"/>
      <c r="G160" s="30"/>
      <c r="H160" s="30"/>
      <c r="I160" s="30"/>
      <c r="J160" s="30"/>
      <c r="K160" s="30"/>
      <c r="L160" s="30"/>
    </row>
    <row r="161" spans="2:12" s="29" customFormat="1" ht="13.5" customHeight="1" x14ac:dyDescent="0.15">
      <c r="B161" s="28"/>
      <c r="F161" s="30"/>
      <c r="G161" s="30"/>
      <c r="H161" s="30"/>
      <c r="I161" s="30"/>
      <c r="J161" s="30"/>
      <c r="K161" s="30"/>
      <c r="L161" s="30"/>
    </row>
    <row r="162" spans="2:12" s="29" customFormat="1" ht="13.5" customHeight="1" x14ac:dyDescent="0.15">
      <c r="B162" s="28"/>
      <c r="F162" s="30"/>
      <c r="G162" s="30"/>
      <c r="H162" s="30"/>
      <c r="I162" s="30"/>
      <c r="J162" s="30"/>
      <c r="K162" s="30"/>
      <c r="L162" s="30"/>
    </row>
    <row r="163" spans="2:12" s="29" customFormat="1" ht="13.5" customHeight="1" x14ac:dyDescent="0.15">
      <c r="B163" s="28"/>
      <c r="F163" s="30"/>
      <c r="G163" s="30"/>
      <c r="H163" s="30"/>
      <c r="I163" s="30"/>
      <c r="J163" s="30"/>
      <c r="K163" s="30"/>
      <c r="L163" s="30"/>
    </row>
    <row r="164" spans="2:12" s="29" customFormat="1" ht="13.5" customHeight="1" x14ac:dyDescent="0.15">
      <c r="B164" s="28"/>
      <c r="F164" s="30"/>
      <c r="G164" s="30"/>
      <c r="H164" s="30"/>
      <c r="I164" s="30"/>
      <c r="J164" s="30"/>
      <c r="K164" s="30"/>
      <c r="L164" s="30"/>
    </row>
    <row r="165" spans="2:12" s="29" customFormat="1" ht="13.5" customHeight="1" x14ac:dyDescent="0.15">
      <c r="B165" s="28"/>
      <c r="F165" s="30"/>
      <c r="G165" s="30"/>
      <c r="H165" s="30"/>
      <c r="I165" s="30"/>
      <c r="J165" s="30"/>
      <c r="K165" s="30"/>
      <c r="L165" s="30"/>
    </row>
    <row r="166" spans="2:12" s="29" customFormat="1" ht="13.5" customHeight="1" x14ac:dyDescent="0.15">
      <c r="B166" s="28"/>
      <c r="F166" s="30"/>
      <c r="G166" s="30"/>
      <c r="H166" s="30"/>
      <c r="I166" s="30"/>
      <c r="J166" s="30"/>
      <c r="K166" s="30"/>
      <c r="L166" s="30"/>
    </row>
    <row r="167" spans="2:12" s="29" customFormat="1" ht="13.5" customHeight="1" x14ac:dyDescent="0.15">
      <c r="B167" s="28"/>
      <c r="F167" s="30"/>
      <c r="G167" s="30"/>
      <c r="H167" s="30"/>
      <c r="I167" s="30"/>
      <c r="J167" s="30"/>
      <c r="K167" s="30"/>
      <c r="L167" s="30"/>
    </row>
    <row r="168" spans="2:12" s="29" customFormat="1" ht="13.5" customHeight="1" x14ac:dyDescent="0.15">
      <c r="B168" s="28"/>
      <c r="F168" s="30"/>
      <c r="G168" s="30"/>
      <c r="H168" s="30"/>
      <c r="I168" s="30"/>
      <c r="J168" s="30"/>
      <c r="K168" s="30"/>
      <c r="L168" s="30"/>
    </row>
    <row r="169" spans="2:12" s="29" customFormat="1" ht="13.5" customHeight="1" x14ac:dyDescent="0.15">
      <c r="B169" s="28"/>
      <c r="F169" s="30"/>
      <c r="G169" s="30"/>
      <c r="H169" s="30"/>
      <c r="I169" s="30"/>
      <c r="J169" s="30"/>
      <c r="K169" s="30"/>
      <c r="L169" s="30"/>
    </row>
    <row r="170" spans="2:12" s="29" customFormat="1" ht="13.5" customHeight="1" x14ac:dyDescent="0.15">
      <c r="B170" s="28"/>
      <c r="F170" s="30"/>
      <c r="G170" s="30"/>
      <c r="H170" s="30"/>
      <c r="I170" s="30"/>
      <c r="J170" s="30"/>
      <c r="K170" s="30"/>
      <c r="L170" s="30"/>
    </row>
    <row r="171" spans="2:12" s="29" customFormat="1" ht="13.5" customHeight="1" x14ac:dyDescent="0.15">
      <c r="B171" s="28"/>
      <c r="F171" s="30"/>
      <c r="G171" s="30"/>
      <c r="H171" s="30"/>
      <c r="I171" s="30"/>
      <c r="J171" s="30"/>
      <c r="K171" s="30"/>
      <c r="L171" s="30"/>
    </row>
    <row r="172" spans="2:12" s="29" customFormat="1" ht="13.5" customHeight="1" x14ac:dyDescent="0.15">
      <c r="B172" s="28"/>
      <c r="F172" s="30"/>
      <c r="G172" s="30"/>
      <c r="H172" s="30"/>
      <c r="I172" s="30"/>
      <c r="J172" s="30"/>
      <c r="K172" s="30"/>
      <c r="L172" s="30"/>
    </row>
    <row r="173" spans="2:12" s="29" customFormat="1" ht="13.5" customHeight="1" x14ac:dyDescent="0.15">
      <c r="B173" s="28"/>
      <c r="F173" s="30"/>
      <c r="G173" s="30"/>
      <c r="H173" s="30"/>
      <c r="I173" s="30"/>
      <c r="J173" s="30"/>
      <c r="K173" s="30"/>
      <c r="L173" s="30"/>
    </row>
    <row r="174" spans="2:12" s="29" customFormat="1" ht="13.5" customHeight="1" x14ac:dyDescent="0.15">
      <c r="B174" s="28"/>
      <c r="F174" s="30"/>
      <c r="G174" s="30"/>
      <c r="H174" s="30"/>
      <c r="I174" s="30"/>
      <c r="J174" s="30"/>
      <c r="K174" s="30"/>
      <c r="L174" s="30"/>
    </row>
    <row r="175" spans="2:12" s="29" customFormat="1" ht="13.5" customHeight="1" x14ac:dyDescent="0.15">
      <c r="B175" s="28"/>
      <c r="F175" s="30"/>
      <c r="G175" s="30"/>
      <c r="H175" s="30"/>
      <c r="I175" s="30"/>
      <c r="J175" s="30"/>
      <c r="K175" s="30"/>
      <c r="L175" s="30"/>
    </row>
    <row r="176" spans="2:12" s="29" customFormat="1" ht="13.5" customHeight="1" x14ac:dyDescent="0.15">
      <c r="B176" s="28"/>
      <c r="F176" s="30"/>
      <c r="G176" s="30"/>
      <c r="H176" s="30"/>
      <c r="I176" s="30"/>
      <c r="J176" s="30"/>
      <c r="K176" s="30"/>
      <c r="L176" s="30"/>
    </row>
    <row r="177" spans="2:12" s="29" customFormat="1" ht="13.5" customHeight="1" x14ac:dyDescent="0.15">
      <c r="B177" s="28"/>
      <c r="F177" s="30"/>
      <c r="G177" s="30"/>
      <c r="H177" s="30"/>
      <c r="I177" s="30"/>
      <c r="J177" s="30"/>
      <c r="K177" s="30"/>
      <c r="L177" s="30"/>
    </row>
    <row r="178" spans="2:12" s="29" customFormat="1" ht="13.5" customHeight="1" x14ac:dyDescent="0.15">
      <c r="B178" s="28"/>
      <c r="F178" s="30"/>
      <c r="G178" s="30"/>
      <c r="H178" s="30"/>
      <c r="I178" s="30"/>
      <c r="J178" s="30"/>
      <c r="K178" s="30"/>
      <c r="L178" s="30"/>
    </row>
    <row r="179" spans="2:12" s="29" customFormat="1" ht="13.5" customHeight="1" x14ac:dyDescent="0.15">
      <c r="B179" s="28"/>
      <c r="F179" s="30"/>
      <c r="G179" s="30"/>
      <c r="H179" s="30"/>
      <c r="I179" s="30"/>
      <c r="J179" s="30"/>
      <c r="K179" s="30"/>
      <c r="L179" s="30"/>
    </row>
    <row r="180" spans="2:12" s="29" customFormat="1" ht="13.5" customHeight="1" x14ac:dyDescent="0.15">
      <c r="B180" s="28"/>
      <c r="F180" s="30"/>
      <c r="G180" s="30"/>
      <c r="H180" s="30"/>
      <c r="I180" s="30"/>
      <c r="J180" s="30"/>
      <c r="K180" s="30"/>
      <c r="L180" s="30"/>
    </row>
    <row r="181" spans="2:12" s="29" customFormat="1" ht="13.5" customHeight="1" x14ac:dyDescent="0.15">
      <c r="B181" s="28"/>
      <c r="F181" s="30"/>
      <c r="G181" s="30"/>
      <c r="H181" s="30"/>
      <c r="I181" s="30"/>
      <c r="J181" s="30"/>
      <c r="K181" s="30"/>
      <c r="L181" s="30"/>
    </row>
    <row r="182" spans="2:12" s="29" customFormat="1" ht="13.5" customHeight="1" x14ac:dyDescent="0.15">
      <c r="B182" s="28"/>
      <c r="F182" s="30"/>
      <c r="G182" s="30"/>
      <c r="H182" s="30"/>
      <c r="I182" s="30"/>
      <c r="J182" s="30"/>
      <c r="K182" s="30"/>
      <c r="L182" s="30"/>
    </row>
    <row r="183" spans="2:12" s="29" customFormat="1" ht="13.5" customHeight="1" x14ac:dyDescent="0.15">
      <c r="B183" s="28"/>
      <c r="F183" s="30"/>
      <c r="G183" s="30"/>
      <c r="H183" s="30"/>
      <c r="I183" s="30"/>
      <c r="J183" s="30"/>
      <c r="K183" s="30"/>
      <c r="L183" s="30"/>
    </row>
    <row r="184" spans="2:12" s="29" customFormat="1" ht="13.5" customHeight="1" x14ac:dyDescent="0.15">
      <c r="B184" s="28"/>
      <c r="F184" s="30"/>
      <c r="G184" s="30"/>
      <c r="H184" s="30"/>
      <c r="I184" s="30"/>
      <c r="J184" s="30"/>
      <c r="K184" s="30"/>
      <c r="L184" s="30"/>
    </row>
    <row r="185" spans="2:12" s="29" customFormat="1" ht="13.5" customHeight="1" x14ac:dyDescent="0.15">
      <c r="B185" s="28"/>
      <c r="F185" s="30"/>
      <c r="G185" s="30"/>
      <c r="H185" s="30"/>
      <c r="I185" s="30"/>
      <c r="J185" s="30"/>
      <c r="K185" s="30"/>
      <c r="L185" s="30"/>
    </row>
    <row r="186" spans="2:12" s="29" customFormat="1" ht="13.5" customHeight="1" x14ac:dyDescent="0.15">
      <c r="B186" s="28"/>
      <c r="F186" s="30"/>
      <c r="G186" s="30"/>
      <c r="H186" s="30"/>
      <c r="I186" s="30"/>
      <c r="J186" s="30"/>
      <c r="K186" s="30"/>
      <c r="L186" s="30"/>
    </row>
    <row r="187" spans="2:12" s="29" customFormat="1" ht="13.5" customHeight="1" x14ac:dyDescent="0.15">
      <c r="B187" s="28"/>
      <c r="F187" s="30"/>
      <c r="G187" s="30"/>
      <c r="H187" s="30"/>
      <c r="I187" s="30"/>
      <c r="J187" s="30"/>
      <c r="K187" s="30"/>
      <c r="L187" s="30"/>
    </row>
    <row r="188" spans="2:12" s="29" customFormat="1" ht="13.5" customHeight="1" x14ac:dyDescent="0.15">
      <c r="B188" s="28"/>
      <c r="F188" s="30"/>
      <c r="G188" s="30"/>
      <c r="H188" s="30"/>
      <c r="I188" s="30"/>
      <c r="J188" s="30"/>
      <c r="K188" s="30"/>
      <c r="L188" s="30"/>
    </row>
    <row r="189" spans="2:12" s="29" customFormat="1" ht="13.5" customHeight="1" x14ac:dyDescent="0.15">
      <c r="B189" s="28"/>
      <c r="F189" s="30"/>
      <c r="G189" s="30"/>
      <c r="H189" s="30"/>
      <c r="I189" s="30"/>
      <c r="J189" s="30"/>
      <c r="K189" s="30"/>
      <c r="L189" s="30"/>
    </row>
    <row r="190" spans="2:12" s="29" customFormat="1" ht="13.5" customHeight="1" x14ac:dyDescent="0.15">
      <c r="B190" s="28"/>
      <c r="F190" s="30"/>
      <c r="G190" s="30"/>
      <c r="H190" s="30"/>
      <c r="I190" s="30"/>
      <c r="J190" s="30"/>
      <c r="K190" s="30"/>
      <c r="L190" s="30"/>
    </row>
    <row r="191" spans="2:12" s="29" customFormat="1" ht="13.5" customHeight="1" x14ac:dyDescent="0.15">
      <c r="B191" s="28"/>
      <c r="F191" s="30"/>
      <c r="G191" s="30"/>
      <c r="H191" s="30"/>
      <c r="I191" s="30"/>
      <c r="J191" s="30"/>
      <c r="K191" s="30"/>
      <c r="L191" s="30"/>
    </row>
    <row r="192" spans="2:12" s="29" customFormat="1" ht="13.5" customHeight="1" x14ac:dyDescent="0.15">
      <c r="B192" s="28"/>
      <c r="F192" s="30"/>
      <c r="G192" s="30"/>
      <c r="H192" s="30"/>
      <c r="I192" s="30"/>
      <c r="J192" s="30"/>
      <c r="K192" s="30"/>
      <c r="L192" s="30"/>
    </row>
    <row r="193" spans="2:12" s="29" customFormat="1" ht="13.5" customHeight="1" x14ac:dyDescent="0.15">
      <c r="B193" s="28"/>
      <c r="F193" s="30"/>
      <c r="G193" s="30"/>
      <c r="H193" s="30"/>
      <c r="I193" s="30"/>
      <c r="J193" s="30"/>
      <c r="K193" s="30"/>
      <c r="L193" s="30"/>
    </row>
    <row r="194" spans="2:12" s="29" customFormat="1" ht="13.5" customHeight="1" x14ac:dyDescent="0.15">
      <c r="B194" s="28"/>
      <c r="F194" s="30"/>
      <c r="G194" s="30"/>
      <c r="H194" s="30"/>
      <c r="I194" s="30"/>
      <c r="J194" s="30"/>
      <c r="K194" s="30"/>
      <c r="L194" s="30"/>
    </row>
    <row r="195" spans="2:12" s="29" customFormat="1" ht="13.5" customHeight="1" x14ac:dyDescent="0.15">
      <c r="B195" s="28"/>
      <c r="F195" s="30"/>
      <c r="G195" s="30"/>
      <c r="H195" s="30"/>
      <c r="I195" s="30"/>
      <c r="J195" s="30"/>
      <c r="K195" s="30"/>
      <c r="L195" s="30"/>
    </row>
    <row r="196" spans="2:12" s="29" customFormat="1" ht="13.5" customHeight="1" x14ac:dyDescent="0.15">
      <c r="B196" s="28"/>
      <c r="F196" s="30"/>
      <c r="G196" s="30"/>
      <c r="H196" s="30"/>
      <c r="I196" s="30"/>
      <c r="J196" s="30"/>
      <c r="K196" s="30"/>
      <c r="L196" s="30"/>
    </row>
    <row r="197" spans="2:12" s="29" customFormat="1" ht="13.5" customHeight="1" x14ac:dyDescent="0.15">
      <c r="B197" s="28"/>
      <c r="F197" s="30"/>
      <c r="G197" s="30"/>
      <c r="H197" s="30"/>
      <c r="I197" s="30"/>
      <c r="J197" s="30"/>
      <c r="K197" s="30"/>
      <c r="L197" s="30"/>
    </row>
    <row r="198" spans="2:12" s="29" customFormat="1" ht="13.5" customHeight="1" x14ac:dyDescent="0.15">
      <c r="B198" s="28"/>
      <c r="F198" s="30"/>
      <c r="G198" s="30"/>
      <c r="H198" s="30"/>
      <c r="I198" s="30"/>
      <c r="J198" s="30"/>
      <c r="K198" s="30"/>
      <c r="L198" s="30"/>
    </row>
    <row r="199" spans="2:12" s="29" customFormat="1" ht="13.5" customHeight="1" x14ac:dyDescent="0.15">
      <c r="B199" s="28"/>
      <c r="F199" s="30"/>
      <c r="G199" s="30"/>
      <c r="H199" s="30"/>
      <c r="I199" s="30"/>
      <c r="J199" s="30"/>
      <c r="K199" s="30"/>
      <c r="L199" s="30"/>
    </row>
    <row r="200" spans="2:12" s="29" customFormat="1" ht="13.5" customHeight="1" x14ac:dyDescent="0.15">
      <c r="B200" s="28"/>
      <c r="F200" s="30"/>
      <c r="G200" s="30"/>
      <c r="H200" s="30"/>
      <c r="I200" s="30"/>
      <c r="J200" s="30"/>
      <c r="K200" s="30"/>
      <c r="L200" s="30"/>
    </row>
    <row r="201" spans="2:12" s="29" customFormat="1" ht="13.5" customHeight="1" x14ac:dyDescent="0.15">
      <c r="B201" s="28"/>
      <c r="F201" s="30"/>
      <c r="G201" s="30"/>
      <c r="H201" s="30"/>
      <c r="I201" s="30"/>
      <c r="J201" s="30"/>
      <c r="K201" s="30"/>
      <c r="L201" s="30"/>
    </row>
    <row r="202" spans="2:12" s="29" customFormat="1" ht="13.5" customHeight="1" x14ac:dyDescent="0.15">
      <c r="B202" s="28"/>
      <c r="F202" s="30"/>
      <c r="G202" s="30"/>
      <c r="H202" s="30"/>
      <c r="I202" s="30"/>
      <c r="J202" s="30"/>
      <c r="K202" s="30"/>
      <c r="L202" s="30"/>
    </row>
    <row r="203" spans="2:12" s="29" customFormat="1" ht="13.5" customHeight="1" x14ac:dyDescent="0.15">
      <c r="B203" s="28"/>
      <c r="F203" s="30"/>
      <c r="G203" s="30"/>
      <c r="H203" s="30"/>
      <c r="I203" s="30"/>
      <c r="J203" s="30"/>
      <c r="K203" s="30"/>
      <c r="L203" s="30"/>
    </row>
    <row r="204" spans="2:12" s="29" customFormat="1" ht="13.5" customHeight="1" x14ac:dyDescent="0.15">
      <c r="B204" s="28"/>
      <c r="F204" s="30"/>
      <c r="G204" s="30"/>
      <c r="H204" s="30"/>
      <c r="I204" s="30"/>
      <c r="J204" s="30"/>
      <c r="K204" s="30"/>
      <c r="L204" s="30"/>
    </row>
    <row r="205" spans="2:12" s="29" customFormat="1" ht="13.5" customHeight="1" x14ac:dyDescent="0.15">
      <c r="B205" s="28"/>
      <c r="F205" s="30"/>
      <c r="G205" s="30"/>
      <c r="H205" s="30"/>
      <c r="I205" s="30"/>
      <c r="J205" s="30"/>
      <c r="K205" s="30"/>
      <c r="L205" s="30"/>
    </row>
    <row r="206" spans="2:12" s="29" customFormat="1" ht="13.5" customHeight="1" x14ac:dyDescent="0.15">
      <c r="B206" s="28"/>
      <c r="F206" s="30"/>
      <c r="G206" s="30"/>
      <c r="H206" s="30"/>
      <c r="I206" s="30"/>
      <c r="J206" s="30"/>
      <c r="K206" s="30"/>
      <c r="L206" s="30"/>
    </row>
    <row r="207" spans="2:12" s="29" customFormat="1" ht="13.5" customHeight="1" x14ac:dyDescent="0.15">
      <c r="B207" s="28"/>
      <c r="F207" s="30"/>
      <c r="G207" s="30"/>
      <c r="H207" s="30"/>
      <c r="I207" s="30"/>
      <c r="J207" s="30"/>
      <c r="K207" s="30"/>
      <c r="L207" s="30"/>
    </row>
    <row r="208" spans="2:12" s="29" customFormat="1" ht="13.5" customHeight="1" x14ac:dyDescent="0.15">
      <c r="B208" s="28"/>
      <c r="F208" s="30"/>
      <c r="G208" s="30"/>
      <c r="H208" s="30"/>
      <c r="I208" s="30"/>
      <c r="J208" s="30"/>
      <c r="K208" s="30"/>
      <c r="L208" s="30"/>
    </row>
    <row r="209" spans="2:12" s="29" customFormat="1" ht="13.5" customHeight="1" x14ac:dyDescent="0.15">
      <c r="B209" s="28"/>
      <c r="F209" s="30"/>
      <c r="G209" s="30"/>
      <c r="H209" s="30"/>
      <c r="I209" s="30"/>
      <c r="J209" s="30"/>
      <c r="K209" s="30"/>
      <c r="L209" s="30"/>
    </row>
    <row r="210" spans="2:12" s="29" customFormat="1" ht="13.5" customHeight="1" x14ac:dyDescent="0.15">
      <c r="B210" s="28"/>
      <c r="F210" s="30"/>
      <c r="G210" s="30"/>
      <c r="H210" s="30"/>
      <c r="I210" s="30"/>
      <c r="J210" s="30"/>
      <c r="K210" s="30"/>
      <c r="L210" s="30"/>
    </row>
    <row r="211" spans="2:12" s="29" customFormat="1" ht="13.5" customHeight="1" x14ac:dyDescent="0.15">
      <c r="B211" s="28"/>
      <c r="F211" s="30"/>
      <c r="G211" s="30"/>
      <c r="H211" s="30"/>
      <c r="I211" s="30"/>
      <c r="J211" s="30"/>
      <c r="K211" s="30"/>
      <c r="L211" s="30"/>
    </row>
    <row r="212" spans="2:12" s="29" customFormat="1" ht="13.5" customHeight="1" x14ac:dyDescent="0.15">
      <c r="B212" s="28"/>
      <c r="F212" s="30"/>
      <c r="G212" s="30"/>
      <c r="H212" s="30"/>
      <c r="I212" s="30"/>
      <c r="J212" s="30"/>
      <c r="K212" s="30"/>
      <c r="L212" s="30"/>
    </row>
    <row r="213" spans="2:12" s="29" customFormat="1" ht="13.5" customHeight="1" x14ac:dyDescent="0.15">
      <c r="B213" s="28"/>
      <c r="F213" s="30"/>
      <c r="G213" s="30"/>
      <c r="H213" s="30"/>
      <c r="I213" s="30"/>
      <c r="J213" s="30"/>
      <c r="K213" s="30"/>
      <c r="L213" s="30"/>
    </row>
    <row r="214" spans="2:12" s="29" customFormat="1" ht="13.5" customHeight="1" x14ac:dyDescent="0.15">
      <c r="B214" s="28"/>
      <c r="F214" s="30"/>
      <c r="G214" s="30"/>
      <c r="H214" s="30"/>
      <c r="I214" s="30"/>
      <c r="J214" s="30"/>
      <c r="K214" s="30"/>
      <c r="L214" s="30"/>
    </row>
    <row r="215" spans="2:12" s="29" customFormat="1" ht="13.5" customHeight="1" x14ac:dyDescent="0.15">
      <c r="B215" s="28"/>
      <c r="F215" s="30"/>
      <c r="G215" s="30"/>
      <c r="H215" s="30"/>
      <c r="I215" s="30"/>
      <c r="J215" s="30"/>
      <c r="K215" s="30"/>
      <c r="L215" s="30"/>
    </row>
    <row r="216" spans="2:12" s="29" customFormat="1" ht="13.5" customHeight="1" x14ac:dyDescent="0.15">
      <c r="B216" s="28"/>
      <c r="F216" s="30"/>
      <c r="G216" s="30"/>
      <c r="H216" s="30"/>
      <c r="I216" s="30"/>
      <c r="J216" s="30"/>
      <c r="K216" s="30"/>
      <c r="L216" s="30"/>
    </row>
    <row r="217" spans="2:12" s="29" customFormat="1" ht="13.5" customHeight="1" x14ac:dyDescent="0.15">
      <c r="B217" s="28"/>
      <c r="F217" s="30"/>
      <c r="G217" s="30"/>
      <c r="H217" s="30"/>
      <c r="I217" s="30"/>
      <c r="J217" s="30"/>
      <c r="K217" s="30"/>
      <c r="L217" s="30"/>
    </row>
    <row r="218" spans="2:12" s="29" customFormat="1" ht="13.5" customHeight="1" x14ac:dyDescent="0.15">
      <c r="B218" s="28"/>
      <c r="F218" s="30"/>
      <c r="G218" s="30"/>
      <c r="H218" s="30"/>
      <c r="I218" s="30"/>
      <c r="J218" s="30"/>
      <c r="K218" s="30"/>
      <c r="L218" s="30"/>
    </row>
    <row r="219" spans="2:12" s="29" customFormat="1" ht="13.5" customHeight="1" x14ac:dyDescent="0.15">
      <c r="B219" s="28"/>
      <c r="F219" s="30"/>
      <c r="G219" s="30"/>
      <c r="H219" s="30"/>
      <c r="I219" s="30"/>
      <c r="J219" s="30"/>
      <c r="K219" s="30"/>
      <c r="L219" s="30"/>
    </row>
    <row r="220" spans="2:12" s="29" customFormat="1" ht="13.5" customHeight="1" x14ac:dyDescent="0.15">
      <c r="B220" s="28"/>
      <c r="F220" s="30"/>
      <c r="G220" s="30"/>
      <c r="H220" s="30"/>
      <c r="I220" s="30"/>
      <c r="J220" s="30"/>
      <c r="K220" s="30"/>
      <c r="L220" s="30"/>
    </row>
    <row r="221" spans="2:12" s="29" customFormat="1" ht="13.5" customHeight="1" x14ac:dyDescent="0.15">
      <c r="B221" s="28"/>
      <c r="F221" s="30"/>
      <c r="G221" s="30"/>
      <c r="H221" s="30"/>
      <c r="I221" s="30"/>
      <c r="J221" s="30"/>
      <c r="K221" s="30"/>
      <c r="L221" s="30"/>
    </row>
    <row r="222" spans="2:12" s="29" customFormat="1" ht="13.5" customHeight="1" x14ac:dyDescent="0.15">
      <c r="B222" s="28"/>
      <c r="F222" s="30"/>
      <c r="G222" s="30"/>
      <c r="H222" s="30"/>
      <c r="I222" s="30"/>
      <c r="J222" s="30"/>
      <c r="K222" s="30"/>
      <c r="L222" s="30"/>
    </row>
    <row r="223" spans="2:12" s="29" customFormat="1" ht="13.5" customHeight="1" x14ac:dyDescent="0.15">
      <c r="B223" s="28"/>
      <c r="F223" s="30"/>
      <c r="G223" s="30"/>
      <c r="H223" s="30"/>
      <c r="I223" s="30"/>
      <c r="J223" s="30"/>
      <c r="K223" s="30"/>
      <c r="L223" s="30"/>
    </row>
    <row r="224" spans="2:12" s="29" customFormat="1" ht="13.5" customHeight="1" x14ac:dyDescent="0.15">
      <c r="B224" s="28"/>
      <c r="F224" s="30"/>
      <c r="G224" s="30"/>
      <c r="H224" s="30"/>
      <c r="I224" s="30"/>
      <c r="J224" s="30"/>
      <c r="K224" s="30"/>
      <c r="L224" s="30"/>
    </row>
    <row r="225" spans="2:12" s="29" customFormat="1" ht="13.5" customHeight="1" x14ac:dyDescent="0.15">
      <c r="B225" s="28"/>
      <c r="F225" s="30"/>
      <c r="G225" s="30"/>
      <c r="H225" s="30"/>
      <c r="I225" s="30"/>
      <c r="J225" s="30"/>
      <c r="K225" s="30"/>
      <c r="L225" s="30"/>
    </row>
    <row r="226" spans="2:12" s="29" customFormat="1" ht="13.5" customHeight="1" x14ac:dyDescent="0.15">
      <c r="B226" s="28"/>
      <c r="F226" s="30"/>
      <c r="G226" s="30"/>
      <c r="H226" s="30"/>
      <c r="I226" s="30"/>
      <c r="J226" s="30"/>
      <c r="K226" s="30"/>
      <c r="L226" s="30"/>
    </row>
    <row r="227" spans="2:12" s="29" customFormat="1" ht="13.5" customHeight="1" x14ac:dyDescent="0.15">
      <c r="B227" s="28"/>
      <c r="F227" s="30"/>
      <c r="G227" s="30"/>
      <c r="H227" s="30"/>
      <c r="I227" s="30"/>
      <c r="J227" s="30"/>
      <c r="K227" s="30"/>
      <c r="L227" s="30"/>
    </row>
    <row r="228" spans="2:12" s="29" customFormat="1" ht="13.5" customHeight="1" x14ac:dyDescent="0.15">
      <c r="B228" s="28"/>
      <c r="F228" s="30"/>
      <c r="G228" s="30"/>
      <c r="H228" s="30"/>
      <c r="I228" s="30"/>
      <c r="J228" s="30"/>
      <c r="K228" s="30"/>
      <c r="L228" s="30"/>
    </row>
    <row r="229" spans="2:12" s="29" customFormat="1" ht="13.5" customHeight="1" x14ac:dyDescent="0.15">
      <c r="B229" s="28"/>
      <c r="F229" s="30"/>
      <c r="G229" s="30"/>
      <c r="H229" s="30"/>
      <c r="I229" s="30"/>
      <c r="J229" s="30"/>
      <c r="K229" s="30"/>
      <c r="L229" s="30"/>
    </row>
    <row r="230" spans="2:12" s="29" customFormat="1" ht="13.5" customHeight="1" x14ac:dyDescent="0.15">
      <c r="B230" s="28"/>
      <c r="F230" s="30"/>
      <c r="G230" s="30"/>
      <c r="H230" s="30"/>
      <c r="I230" s="30"/>
      <c r="J230" s="30"/>
      <c r="K230" s="30"/>
      <c r="L230" s="30"/>
    </row>
    <row r="231" spans="2:12" s="29" customFormat="1" ht="13.5" customHeight="1" x14ac:dyDescent="0.15">
      <c r="B231" s="28"/>
      <c r="F231" s="30"/>
      <c r="G231" s="30"/>
      <c r="H231" s="30"/>
      <c r="I231" s="30"/>
      <c r="J231" s="30"/>
      <c r="K231" s="30"/>
      <c r="L231" s="30"/>
    </row>
    <row r="232" spans="2:12" s="29" customFormat="1" ht="13.5" customHeight="1" x14ac:dyDescent="0.15">
      <c r="B232" s="28"/>
      <c r="F232" s="30"/>
      <c r="G232" s="30"/>
      <c r="H232" s="30"/>
      <c r="I232" s="30"/>
      <c r="J232" s="30"/>
      <c r="K232" s="30"/>
      <c r="L232" s="30"/>
    </row>
    <row r="233" spans="2:12" s="29" customFormat="1" ht="13.5" customHeight="1" x14ac:dyDescent="0.15">
      <c r="B233" s="28"/>
      <c r="F233" s="30"/>
      <c r="G233" s="30"/>
      <c r="H233" s="30"/>
      <c r="I233" s="30"/>
      <c r="J233" s="30"/>
      <c r="K233" s="30"/>
      <c r="L233" s="30"/>
    </row>
    <row r="234" spans="2:12" s="29" customFormat="1" ht="13.5" customHeight="1" x14ac:dyDescent="0.15">
      <c r="B234" s="28"/>
      <c r="F234" s="30"/>
      <c r="G234" s="30"/>
      <c r="H234" s="30"/>
      <c r="I234" s="30"/>
      <c r="J234" s="30"/>
      <c r="K234" s="30"/>
      <c r="L234" s="30"/>
    </row>
    <row r="235" spans="2:12" s="29" customFormat="1" ht="13.5" customHeight="1" x14ac:dyDescent="0.15">
      <c r="B235" s="28"/>
      <c r="F235" s="30"/>
      <c r="G235" s="30"/>
      <c r="H235" s="30"/>
      <c r="I235" s="30"/>
      <c r="J235" s="30"/>
      <c r="K235" s="30"/>
      <c r="L235" s="30"/>
    </row>
    <row r="236" spans="2:12" s="29" customFormat="1" ht="13.5" customHeight="1" x14ac:dyDescent="0.15">
      <c r="B236" s="28"/>
      <c r="F236" s="30"/>
      <c r="G236" s="30"/>
      <c r="H236" s="30"/>
      <c r="I236" s="30"/>
      <c r="J236" s="30"/>
      <c r="K236" s="30"/>
      <c r="L236" s="30"/>
    </row>
    <row r="237" spans="2:12" s="29" customFormat="1" ht="13.5" customHeight="1" x14ac:dyDescent="0.15">
      <c r="B237" s="28"/>
      <c r="F237" s="30"/>
      <c r="G237" s="30"/>
      <c r="H237" s="30"/>
      <c r="I237" s="30"/>
      <c r="J237" s="30"/>
      <c r="K237" s="30"/>
      <c r="L237" s="30"/>
    </row>
    <row r="238" spans="2:12" s="29" customFormat="1" ht="13.5" customHeight="1" x14ac:dyDescent="0.15">
      <c r="B238" s="28"/>
      <c r="F238" s="30"/>
      <c r="G238" s="30"/>
      <c r="H238" s="30"/>
      <c r="I238" s="30"/>
      <c r="J238" s="30"/>
      <c r="K238" s="30"/>
      <c r="L238" s="30"/>
    </row>
    <row r="239" spans="2:12" s="29" customFormat="1" ht="13.5" customHeight="1" x14ac:dyDescent="0.15">
      <c r="B239" s="28"/>
      <c r="F239" s="30"/>
      <c r="G239" s="30"/>
      <c r="H239" s="30"/>
      <c r="I239" s="30"/>
      <c r="J239" s="30"/>
      <c r="K239" s="30"/>
      <c r="L239" s="30"/>
    </row>
    <row r="240" spans="2:12" s="29" customFormat="1" ht="13.5" customHeight="1" x14ac:dyDescent="0.15">
      <c r="B240" s="28"/>
      <c r="F240" s="30"/>
      <c r="G240" s="30"/>
      <c r="H240" s="30"/>
      <c r="I240" s="30"/>
      <c r="J240" s="30"/>
      <c r="K240" s="30"/>
      <c r="L240" s="30"/>
    </row>
    <row r="241" spans="2:12" s="29" customFormat="1" ht="13.5" customHeight="1" x14ac:dyDescent="0.15">
      <c r="B241" s="28"/>
      <c r="F241" s="30"/>
      <c r="G241" s="30"/>
      <c r="H241" s="30"/>
      <c r="I241" s="30"/>
      <c r="J241" s="30"/>
      <c r="K241" s="30"/>
      <c r="L241" s="30"/>
    </row>
    <row r="242" spans="2:12" s="29" customFormat="1" ht="13.5" customHeight="1" x14ac:dyDescent="0.15">
      <c r="B242" s="28"/>
      <c r="F242" s="30"/>
      <c r="G242" s="30"/>
      <c r="H242" s="30"/>
      <c r="I242" s="30"/>
      <c r="J242" s="30"/>
      <c r="K242" s="30"/>
      <c r="L242" s="30"/>
    </row>
    <row r="243" spans="2:12" s="29" customFormat="1" ht="13.5" customHeight="1" x14ac:dyDescent="0.15">
      <c r="B243" s="28"/>
      <c r="F243" s="30"/>
      <c r="G243" s="30"/>
      <c r="H243" s="30"/>
      <c r="I243" s="30"/>
      <c r="J243" s="30"/>
      <c r="K243" s="30"/>
      <c r="L243" s="30"/>
    </row>
    <row r="244" spans="2:12" s="29" customFormat="1" ht="13.5" customHeight="1" x14ac:dyDescent="0.15">
      <c r="B244" s="28"/>
      <c r="F244" s="30"/>
      <c r="G244" s="30"/>
      <c r="H244" s="30"/>
      <c r="I244" s="30"/>
      <c r="J244" s="30"/>
      <c r="K244" s="30"/>
      <c r="L244" s="30"/>
    </row>
    <row r="245" spans="2:12" s="29" customFormat="1" ht="13.5" customHeight="1" x14ac:dyDescent="0.15">
      <c r="B245" s="28"/>
      <c r="F245" s="30"/>
      <c r="G245" s="30"/>
      <c r="H245" s="30"/>
      <c r="I245" s="30"/>
      <c r="J245" s="30"/>
      <c r="K245" s="30"/>
      <c r="L245" s="30"/>
    </row>
    <row r="246" spans="2:12" s="29" customFormat="1" ht="13.5" customHeight="1" x14ac:dyDescent="0.15">
      <c r="B246" s="28"/>
      <c r="F246" s="30"/>
      <c r="G246" s="30"/>
      <c r="H246" s="30"/>
      <c r="I246" s="30"/>
      <c r="J246" s="30"/>
      <c r="K246" s="30"/>
      <c r="L246" s="30"/>
    </row>
    <row r="247" spans="2:12" s="29" customFormat="1" ht="13.5" customHeight="1" x14ac:dyDescent="0.15">
      <c r="B247" s="28"/>
      <c r="F247" s="30"/>
      <c r="G247" s="30"/>
      <c r="H247" s="30"/>
      <c r="I247" s="30"/>
      <c r="J247" s="30"/>
      <c r="K247" s="30"/>
      <c r="L247" s="30"/>
    </row>
    <row r="248" spans="2:12" s="29" customFormat="1" ht="13.5" customHeight="1" x14ac:dyDescent="0.15">
      <c r="B248" s="28"/>
      <c r="F248" s="30"/>
      <c r="G248" s="30"/>
      <c r="H248" s="30"/>
      <c r="I248" s="30"/>
      <c r="J248" s="30"/>
      <c r="K248" s="30"/>
      <c r="L248" s="30"/>
    </row>
    <row r="249" spans="2:12" s="29" customFormat="1" ht="13.5" customHeight="1" x14ac:dyDescent="0.15">
      <c r="B249" s="28"/>
      <c r="F249" s="30"/>
      <c r="G249" s="30"/>
      <c r="H249" s="30"/>
      <c r="I249" s="30"/>
      <c r="J249" s="30"/>
      <c r="K249" s="30"/>
      <c r="L249" s="30"/>
    </row>
    <row r="250" spans="2:12" s="29" customFormat="1" ht="13.5" customHeight="1" x14ac:dyDescent="0.15">
      <c r="B250" s="28"/>
      <c r="F250" s="30"/>
      <c r="G250" s="30"/>
      <c r="H250" s="30"/>
      <c r="I250" s="30"/>
      <c r="J250" s="30"/>
      <c r="K250" s="30"/>
      <c r="L250" s="30"/>
    </row>
    <row r="251" spans="2:12" s="29" customFormat="1" ht="13.5" customHeight="1" x14ac:dyDescent="0.15">
      <c r="B251" s="28"/>
      <c r="F251" s="30"/>
      <c r="G251" s="30"/>
      <c r="H251" s="30"/>
      <c r="I251" s="30"/>
      <c r="J251" s="30"/>
      <c r="K251" s="30"/>
      <c r="L251" s="30"/>
    </row>
    <row r="252" spans="2:12" s="29" customFormat="1" ht="13.5" customHeight="1" x14ac:dyDescent="0.15">
      <c r="B252" s="28"/>
      <c r="F252" s="30"/>
      <c r="G252" s="30"/>
      <c r="H252" s="30"/>
      <c r="I252" s="30"/>
      <c r="J252" s="30"/>
      <c r="K252" s="30"/>
      <c r="L252" s="30"/>
    </row>
    <row r="253" spans="2:12" s="29" customFormat="1" ht="13.5" customHeight="1" x14ac:dyDescent="0.15">
      <c r="B253" s="28"/>
      <c r="F253" s="30"/>
      <c r="G253" s="30"/>
      <c r="H253" s="30"/>
      <c r="I253" s="30"/>
      <c r="J253" s="30"/>
      <c r="K253" s="30"/>
      <c r="L253" s="30"/>
    </row>
    <row r="254" spans="2:12" s="29" customFormat="1" ht="13.5" customHeight="1" x14ac:dyDescent="0.15">
      <c r="B254" s="28"/>
      <c r="F254" s="30"/>
      <c r="G254" s="30"/>
      <c r="H254" s="30"/>
      <c r="I254" s="30"/>
      <c r="J254" s="30"/>
      <c r="K254" s="30"/>
      <c r="L254" s="30"/>
    </row>
    <row r="255" spans="2:12" s="29" customFormat="1" ht="13.5" customHeight="1" x14ac:dyDescent="0.15">
      <c r="B255" s="28"/>
      <c r="F255" s="30"/>
      <c r="G255" s="30"/>
      <c r="H255" s="30"/>
      <c r="I255" s="30"/>
      <c r="J255" s="30"/>
      <c r="K255" s="30"/>
      <c r="L255" s="30"/>
    </row>
    <row r="256" spans="2:12" s="29" customFormat="1" ht="13.5" customHeight="1" x14ac:dyDescent="0.15">
      <c r="B256" s="28"/>
      <c r="F256" s="30"/>
      <c r="G256" s="30"/>
      <c r="H256" s="30"/>
      <c r="I256" s="30"/>
      <c r="J256" s="30"/>
      <c r="K256" s="30"/>
      <c r="L256" s="30"/>
    </row>
    <row r="257" spans="2:12" s="29" customFormat="1" ht="13.5" customHeight="1" x14ac:dyDescent="0.15">
      <c r="B257" s="28"/>
      <c r="F257" s="30"/>
      <c r="G257" s="30"/>
      <c r="H257" s="30"/>
      <c r="I257" s="30"/>
      <c r="J257" s="30"/>
      <c r="K257" s="30"/>
      <c r="L257" s="30"/>
    </row>
    <row r="258" spans="2:12" s="29" customFormat="1" ht="13.5" customHeight="1" x14ac:dyDescent="0.15">
      <c r="B258" s="28"/>
      <c r="F258" s="30"/>
      <c r="G258" s="30"/>
      <c r="H258" s="30"/>
      <c r="I258" s="30"/>
      <c r="J258" s="30"/>
      <c r="K258" s="30"/>
      <c r="L258" s="30"/>
    </row>
    <row r="259" spans="2:12" s="29" customFormat="1" ht="13.5" customHeight="1" x14ac:dyDescent="0.15">
      <c r="B259" s="28"/>
      <c r="F259" s="30"/>
      <c r="G259" s="30"/>
      <c r="H259" s="30"/>
      <c r="I259" s="30"/>
      <c r="J259" s="30"/>
      <c r="K259" s="30"/>
      <c r="L259" s="30"/>
    </row>
    <row r="260" spans="2:12" s="29" customFormat="1" ht="13.5" customHeight="1" x14ac:dyDescent="0.15">
      <c r="B260" s="28"/>
      <c r="F260" s="30"/>
      <c r="G260" s="30"/>
      <c r="H260" s="30"/>
      <c r="I260" s="30"/>
      <c r="J260" s="30"/>
      <c r="K260" s="30"/>
      <c r="L260" s="30"/>
    </row>
    <row r="261" spans="2:12" s="29" customFormat="1" ht="13.5" customHeight="1" x14ac:dyDescent="0.15">
      <c r="B261" s="28"/>
      <c r="F261" s="30"/>
      <c r="G261" s="30"/>
      <c r="H261" s="30"/>
      <c r="I261" s="30"/>
      <c r="J261" s="30"/>
      <c r="K261" s="30"/>
      <c r="L261" s="30"/>
    </row>
    <row r="262" spans="2:12" s="29" customFormat="1" ht="13.5" customHeight="1" x14ac:dyDescent="0.15">
      <c r="B262" s="28"/>
      <c r="F262" s="30"/>
      <c r="G262" s="30"/>
      <c r="H262" s="30"/>
      <c r="I262" s="30"/>
      <c r="J262" s="30"/>
      <c r="K262" s="30"/>
      <c r="L262" s="30"/>
    </row>
    <row r="263" spans="2:12" s="29" customFormat="1" ht="13.5" customHeight="1" x14ac:dyDescent="0.15">
      <c r="B263" s="28"/>
      <c r="F263" s="30"/>
      <c r="G263" s="30"/>
      <c r="H263" s="30"/>
      <c r="I263" s="30"/>
      <c r="J263" s="30"/>
      <c r="K263" s="30"/>
      <c r="L263" s="30"/>
    </row>
    <row r="264" spans="2:12" s="29" customFormat="1" ht="13.5" customHeight="1" x14ac:dyDescent="0.15">
      <c r="B264" s="28"/>
      <c r="F264" s="30"/>
      <c r="G264" s="30"/>
      <c r="H264" s="30"/>
      <c r="I264" s="30"/>
      <c r="J264" s="30"/>
      <c r="K264" s="30"/>
      <c r="L264" s="30"/>
    </row>
    <row r="265" spans="2:12" s="29" customFormat="1" ht="13.5" customHeight="1" x14ac:dyDescent="0.15">
      <c r="B265" s="28"/>
      <c r="F265" s="30"/>
      <c r="G265" s="30"/>
      <c r="H265" s="30"/>
      <c r="I265" s="30"/>
      <c r="J265" s="30"/>
      <c r="K265" s="30"/>
      <c r="L265" s="30"/>
    </row>
    <row r="266" spans="2:12" s="29" customFormat="1" ht="13.5" customHeight="1" x14ac:dyDescent="0.15">
      <c r="B266" s="28"/>
      <c r="F266" s="30"/>
      <c r="G266" s="30"/>
      <c r="H266" s="30"/>
      <c r="I266" s="30"/>
      <c r="J266" s="30"/>
      <c r="K266" s="30"/>
      <c r="L266" s="30"/>
    </row>
    <row r="267" spans="2:12" s="29" customFormat="1" ht="13.5" customHeight="1" x14ac:dyDescent="0.15">
      <c r="B267" s="28"/>
      <c r="F267" s="30"/>
      <c r="G267" s="30"/>
      <c r="H267" s="30"/>
      <c r="I267" s="30"/>
      <c r="J267" s="30"/>
      <c r="K267" s="30"/>
      <c r="L267" s="30"/>
    </row>
    <row r="268" spans="2:12" s="29" customFormat="1" ht="13.5" customHeight="1" x14ac:dyDescent="0.15">
      <c r="B268" s="28"/>
      <c r="F268" s="30"/>
      <c r="G268" s="30"/>
      <c r="H268" s="30"/>
      <c r="I268" s="30"/>
      <c r="J268" s="30"/>
      <c r="K268" s="30"/>
      <c r="L268" s="30"/>
    </row>
    <row r="269" spans="2:12" s="29" customFormat="1" ht="13.5" customHeight="1" x14ac:dyDescent="0.15">
      <c r="B269" s="28"/>
      <c r="F269" s="30"/>
      <c r="G269" s="30"/>
      <c r="H269" s="30"/>
      <c r="I269" s="30"/>
      <c r="J269" s="30"/>
      <c r="K269" s="30"/>
      <c r="L269" s="30"/>
    </row>
    <row r="270" spans="2:12" s="29" customFormat="1" ht="13.5" customHeight="1" x14ac:dyDescent="0.15">
      <c r="B270" s="28"/>
      <c r="F270" s="30"/>
      <c r="G270" s="30"/>
      <c r="H270" s="30"/>
      <c r="I270" s="30"/>
      <c r="J270" s="30"/>
      <c r="K270" s="30"/>
      <c r="L270" s="30"/>
    </row>
    <row r="271" spans="2:12" s="29" customFormat="1" ht="13.5" customHeight="1" x14ac:dyDescent="0.15">
      <c r="B271" s="28"/>
      <c r="F271" s="30"/>
      <c r="G271" s="30"/>
      <c r="H271" s="30"/>
      <c r="I271" s="30"/>
      <c r="J271" s="30"/>
      <c r="K271" s="30"/>
      <c r="L271" s="30"/>
    </row>
    <row r="272" spans="2:12" s="29" customFormat="1" ht="13.5" customHeight="1" x14ac:dyDescent="0.15">
      <c r="B272" s="28"/>
      <c r="F272" s="30"/>
      <c r="G272" s="30"/>
      <c r="H272" s="30"/>
      <c r="I272" s="30"/>
      <c r="J272" s="30"/>
      <c r="K272" s="30"/>
      <c r="L272" s="30"/>
    </row>
    <row r="273" spans="2:12" s="29" customFormat="1" ht="13.5" customHeight="1" x14ac:dyDescent="0.15">
      <c r="B273" s="28"/>
      <c r="F273" s="30"/>
      <c r="G273" s="30"/>
      <c r="H273" s="30"/>
      <c r="I273" s="30"/>
      <c r="J273" s="30"/>
      <c r="K273" s="30"/>
      <c r="L273" s="30"/>
    </row>
    <row r="274" spans="2:12" s="29" customFormat="1" ht="13.5" customHeight="1" x14ac:dyDescent="0.15">
      <c r="B274" s="28"/>
      <c r="F274" s="30"/>
      <c r="G274" s="30"/>
      <c r="H274" s="30"/>
      <c r="I274" s="30"/>
      <c r="J274" s="30"/>
      <c r="K274" s="30"/>
      <c r="L274" s="30"/>
    </row>
    <row r="275" spans="2:12" s="29" customFormat="1" ht="13.5" customHeight="1" x14ac:dyDescent="0.15">
      <c r="B275" s="28"/>
      <c r="F275" s="30"/>
      <c r="G275" s="30"/>
      <c r="H275" s="30"/>
      <c r="I275" s="30"/>
      <c r="J275" s="30"/>
      <c r="K275" s="30"/>
      <c r="L275" s="30"/>
    </row>
    <row r="276" spans="2:12" s="29" customFormat="1" ht="13.5" customHeight="1" x14ac:dyDescent="0.15">
      <c r="B276" s="28"/>
      <c r="F276" s="30"/>
      <c r="G276" s="30"/>
      <c r="H276" s="30"/>
      <c r="I276" s="30"/>
      <c r="J276" s="30"/>
      <c r="K276" s="30"/>
      <c r="L276" s="30"/>
    </row>
    <row r="277" spans="2:12" s="29" customFormat="1" ht="13.5" customHeight="1" x14ac:dyDescent="0.15">
      <c r="B277" s="28"/>
      <c r="F277" s="30"/>
      <c r="G277" s="30"/>
      <c r="H277" s="30"/>
      <c r="I277" s="30"/>
      <c r="J277" s="30"/>
      <c r="K277" s="30"/>
      <c r="L277" s="30"/>
    </row>
    <row r="278" spans="2:12" s="29" customFormat="1" ht="13.5" customHeight="1" x14ac:dyDescent="0.15">
      <c r="B278" s="28"/>
      <c r="F278" s="30"/>
      <c r="G278" s="30"/>
      <c r="H278" s="30"/>
      <c r="I278" s="30"/>
      <c r="J278" s="30"/>
      <c r="K278" s="30"/>
      <c r="L278" s="30"/>
    </row>
    <row r="279" spans="2:12" s="29" customFormat="1" ht="13.5" customHeight="1" x14ac:dyDescent="0.15">
      <c r="B279" s="28"/>
      <c r="F279" s="30"/>
      <c r="G279" s="30"/>
      <c r="H279" s="30"/>
      <c r="I279" s="30"/>
      <c r="J279" s="30"/>
      <c r="K279" s="30"/>
      <c r="L279" s="30"/>
    </row>
    <row r="280" spans="2:12" s="29" customFormat="1" ht="13.5" customHeight="1" x14ac:dyDescent="0.15">
      <c r="B280" s="28"/>
      <c r="F280" s="30"/>
      <c r="G280" s="30"/>
      <c r="H280" s="30"/>
      <c r="I280" s="30"/>
      <c r="J280" s="30"/>
      <c r="K280" s="30"/>
      <c r="L280" s="30"/>
    </row>
    <row r="281" spans="2:12" s="29" customFormat="1" ht="13.5" customHeight="1" x14ac:dyDescent="0.15">
      <c r="B281" s="28"/>
      <c r="F281" s="30"/>
      <c r="G281" s="30"/>
      <c r="H281" s="30"/>
      <c r="I281" s="30"/>
      <c r="J281" s="30"/>
      <c r="K281" s="30"/>
      <c r="L281" s="30"/>
    </row>
    <row r="282" spans="2:12" s="29" customFormat="1" ht="13.5" customHeight="1" x14ac:dyDescent="0.15">
      <c r="B282" s="28"/>
      <c r="F282" s="30"/>
      <c r="G282" s="30"/>
      <c r="H282" s="30"/>
      <c r="I282" s="30"/>
      <c r="J282" s="30"/>
      <c r="K282" s="30"/>
      <c r="L282" s="30"/>
    </row>
    <row r="283" spans="2:12" s="29" customFormat="1" ht="13.5" customHeight="1" x14ac:dyDescent="0.15">
      <c r="B283" s="28"/>
      <c r="F283" s="30"/>
      <c r="G283" s="30"/>
      <c r="H283" s="30"/>
      <c r="I283" s="30"/>
      <c r="J283" s="30"/>
      <c r="K283" s="30"/>
      <c r="L283" s="30"/>
    </row>
  </sheetData>
  <mergeCells count="9">
    <mergeCell ref="J2:L2"/>
    <mergeCell ref="C4:C8"/>
    <mergeCell ref="C9:C10"/>
    <mergeCell ref="B2:B3"/>
    <mergeCell ref="C2:C3"/>
    <mergeCell ref="D2:D3"/>
    <mergeCell ref="E2:E3"/>
    <mergeCell ref="F2:F3"/>
    <mergeCell ref="G2:I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操作说明</vt:lpstr>
      <vt:lpstr>(一)功能清单统计</vt:lpstr>
      <vt:lpstr>(二-1)消耗工时统计</vt:lpstr>
      <vt:lpstr>(二-2)代码行数统计</vt:lpstr>
      <vt:lpstr>(二-3)检查问题统计</vt:lpstr>
      <vt:lpstr>(二-4)评审问题统计</vt:lpstr>
      <vt:lpstr>(二-5)测试用例统计</vt:lpstr>
      <vt:lpstr>(二-6)测试bug统计</vt:lpstr>
      <vt:lpstr>（三)KPI统计</vt:lpstr>
      <vt:lpstr>附1-检查问题记录</vt:lpstr>
      <vt:lpstr>附2-评审问题记录</vt:lpstr>
      <vt:lpstr>附3-bug清单</vt:lpstr>
      <vt:lpstr>备注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2016-01-20T09:44:55Z</dcterms:modified>
</cp:coreProperties>
</file>